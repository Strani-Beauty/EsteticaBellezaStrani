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steticaybellezastrani\"/>
    </mc:Choice>
  </mc:AlternateContent>
  <xr:revisionPtr revIDLastSave="0" documentId="8_{E37AA6EF-F3CF-447D-B7FA-E96CF1659EFD}" xr6:coauthVersionLast="47" xr6:coauthVersionMax="47" xr10:uidLastSave="{00000000-0000-0000-0000-000000000000}"/>
  <bookViews>
    <workbookView xWindow="-120" yWindow="-120" windowWidth="20640" windowHeight="11760" firstSheet="4" activeTab="4" xr2:uid="{00000000-000D-0000-FFFF-FFFF00000000}"/>
  </bookViews>
  <sheets>
    <sheet name="Portada" sheetId="1" r:id="rId1"/>
    <sheet name="Como_evaluar" sheetId="2" r:id="rId2"/>
    <sheet name="Matriz_cuentas" sheetId="3" r:id="rId3"/>
    <sheet name="Resumen_ejecucion" sheetId="4" r:id="rId4"/>
    <sheet name="01_auth_users" sheetId="5" r:id="rId5"/>
    <sheet name="02_specialists" sheetId="6" r:id="rId6"/>
    <sheet name="03_admin_config" sheetId="7" r:id="rId7"/>
    <sheet name="04_admin_users" sheetId="8" r:id="rId8"/>
    <sheet name="05_catalog_services" sheetId="9" r:id="rId9"/>
    <sheet name="06_marketplace_citas" sheetId="10" r:id="rId10"/>
    <sheet name="07_patients_compliance" sheetId="11" r:id="rId11"/>
    <sheet name="08_payments_stripe" sheetId="12" r:id="rId12"/>
    <sheet name="09_treatment_execution" sheetId="13" r:id="rId13"/>
    <sheet name="10_treatment_photos" sheetId="14" r:id="rId14"/>
    <sheet name="11_flujos_integrados" sheetId="15" r:id="rId15"/>
    <sheet name="12_solicitudes_reserva" sheetId="16" r:id="rId16"/>
    <sheet name="13_admin_dashboard" sheetId="17" r:id="rId17"/>
    <sheet name="14_Notificaciones" sheetId="18" r:id="rId18"/>
    <sheet name="15_Calificaciones" sheetId="19" r:id="rId19"/>
    <sheet name="16_Liquidaciones" sheetId="20" r:id="rId20"/>
    <sheet name="17_Historial_Liq" sheetId="21" r:id="rId21"/>
    <sheet name="18_Conciliacion" sheetId="22" r:id="rId22"/>
    <sheet name="19_Sesion_Web" sheetId="23" r:id="rId23"/>
  </sheets>
  <definedNames>
    <definedName name="_xlnm._FilterDatabase" localSheetId="4" hidden="1">'01_auth_users'!$A$1:$J$50</definedName>
    <definedName name="_xlnm._FilterDatabase" localSheetId="5" hidden="1">'02_specialists'!$A$1:$J$45</definedName>
    <definedName name="_xlnm._FilterDatabase" localSheetId="6" hidden="1">'03_admin_config'!$A$1:$J$30</definedName>
    <definedName name="_xlnm._FilterDatabase" localSheetId="7" hidden="1">'04_admin_users'!$A$1:$J$20</definedName>
    <definedName name="_xlnm._FilterDatabase" localSheetId="8" hidden="1">'05_catalog_services'!$A$1:$J$28</definedName>
    <definedName name="_xlnm._FilterDatabase" localSheetId="9" hidden="1">'06_marketplace_citas'!$A$1:$J$32</definedName>
    <definedName name="_xlnm._FilterDatabase" localSheetId="10" hidden="1">'07_patients_compliance'!$A$1:$J$32</definedName>
    <definedName name="_xlnm._FilterDatabase" localSheetId="11" hidden="1">'08_payments_stripe'!$A$1:$J$24</definedName>
    <definedName name="_xlnm._FilterDatabase" localSheetId="12" hidden="1">'09_treatment_execution'!$A$1:$J$34</definedName>
    <definedName name="_xlnm._FilterDatabase" localSheetId="13" hidden="1">'10_treatment_photos'!$A$1:$J$21</definedName>
    <definedName name="_xlnm._FilterDatabase" localSheetId="15" hidden="1">'12_solicitudes_reserva'!$A$1:$J$15</definedName>
    <definedName name="_xlnm._FilterDatabase" localSheetId="16" hidden="1">'13_admin_dashboard'!$A$1:$J$12</definedName>
    <definedName name="_xlnm._FilterDatabase" localSheetId="17" hidden="1">'14_Notificaciones'!$A$1:$J$16</definedName>
    <definedName name="_xlnm._FilterDatabase" localSheetId="18" hidden="1">'15_Calificaciones'!$A$1:$J$14</definedName>
    <definedName name="_xlnm._FilterDatabase" localSheetId="19" hidden="1">'16_Liquidaciones'!$A$1:$J$19</definedName>
    <definedName name="_xlnm._FilterDatabase" localSheetId="20" hidden="1">'17_Historial_Liq'!$A$1:$J$9</definedName>
    <definedName name="_xlnm._FilterDatabase" localSheetId="21" hidden="1">'18_Conciliacion'!$A$1:$J$13</definedName>
    <definedName name="_xlnm._FilterDatabase" localSheetId="22" hidden="1">'19_Sesion_Web'!$A$1:$J$7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4" l="1"/>
  <c r="F22" i="4"/>
  <c r="E22" i="4"/>
  <c r="D22" i="4"/>
  <c r="C22" i="4"/>
  <c r="B22" i="4"/>
  <c r="G22" i="4" s="1"/>
  <c r="H21" i="4"/>
  <c r="F21" i="4"/>
  <c r="E21" i="4"/>
  <c r="D21" i="4"/>
  <c r="C21" i="4"/>
  <c r="G21" i="4" s="1"/>
  <c r="B21" i="4"/>
  <c r="H20" i="4"/>
  <c r="F20" i="4"/>
  <c r="E20" i="4"/>
  <c r="D20" i="4"/>
  <c r="C20" i="4"/>
  <c r="G20" i="4" s="1"/>
  <c r="B20" i="4"/>
  <c r="H19" i="4"/>
  <c r="F19" i="4"/>
  <c r="E19" i="4"/>
  <c r="D19" i="4"/>
  <c r="C19" i="4"/>
  <c r="G19" i="4" s="1"/>
  <c r="B19" i="4"/>
  <c r="H18" i="4"/>
  <c r="F18" i="4"/>
  <c r="E18" i="4"/>
  <c r="D18" i="4"/>
  <c r="C18" i="4"/>
  <c r="G18" i="4" s="1"/>
  <c r="B18" i="4"/>
  <c r="H17" i="4"/>
  <c r="F17" i="4"/>
  <c r="E17" i="4"/>
  <c r="D17" i="4"/>
  <c r="C17" i="4"/>
  <c r="G17" i="4" s="1"/>
  <c r="B17" i="4"/>
  <c r="H16" i="4"/>
  <c r="G16" i="4"/>
  <c r="F16" i="4"/>
  <c r="E16" i="4"/>
  <c r="D16" i="4"/>
  <c r="C16" i="4"/>
  <c r="B16" i="4"/>
  <c r="H15" i="4"/>
  <c r="F15" i="4"/>
  <c r="E15" i="4"/>
  <c r="D15" i="4"/>
  <c r="C15" i="4"/>
  <c r="B15" i="4"/>
  <c r="G15" i="4" s="1"/>
  <c r="H14" i="4"/>
  <c r="G14" i="4"/>
  <c r="F14" i="4"/>
  <c r="E14" i="4"/>
  <c r="D14" i="4"/>
  <c r="C14" i="4"/>
  <c r="B14" i="4"/>
  <c r="H13" i="4"/>
  <c r="F13" i="4"/>
  <c r="E13" i="4"/>
  <c r="D13" i="4"/>
  <c r="C13" i="4"/>
  <c r="B13" i="4"/>
  <c r="G13" i="4" s="1"/>
  <c r="H12" i="4"/>
  <c r="F12" i="4"/>
  <c r="E12" i="4"/>
  <c r="D12" i="4"/>
  <c r="C12" i="4"/>
  <c r="B12" i="4"/>
  <c r="G12" i="4" s="1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F8" i="4"/>
  <c r="E8" i="4"/>
  <c r="D8" i="4"/>
  <c r="C8" i="4"/>
  <c r="B8" i="4"/>
  <c r="G8" i="4" s="1"/>
  <c r="H7" i="4"/>
  <c r="F7" i="4"/>
  <c r="E7" i="4"/>
  <c r="D7" i="4"/>
  <c r="C7" i="4"/>
  <c r="B7" i="4"/>
  <c r="G7" i="4" s="1"/>
  <c r="H6" i="4"/>
  <c r="F6" i="4"/>
  <c r="E6" i="4"/>
  <c r="D6" i="4"/>
  <c r="C6" i="4"/>
  <c r="G6" i="4" s="1"/>
  <c r="B6" i="4"/>
  <c r="H5" i="4"/>
  <c r="F5" i="4"/>
  <c r="E5" i="4"/>
  <c r="D5" i="4"/>
  <c r="C5" i="4"/>
  <c r="B5" i="4"/>
  <c r="B23" i="4" s="1"/>
  <c r="C28" i="4"/>
  <c r="C27" i="4"/>
  <c r="D30" i="4"/>
  <c r="E29" i="4"/>
  <c r="B28" i="4"/>
  <c r="E27" i="4"/>
  <c r="C30" i="4"/>
  <c r="B30" i="4"/>
  <c r="D29" i="4"/>
  <c r="B27" i="4"/>
  <c r="D27" i="4"/>
  <c r="C29" i="4"/>
  <c r="B29" i="4"/>
  <c r="E28" i="4"/>
  <c r="D28" i="4"/>
  <c r="E30" i="4"/>
  <c r="F23" i="4" l="1"/>
  <c r="C23" i="4"/>
  <c r="H23" i="4"/>
  <c r="B38" i="4" s="1"/>
  <c r="B39" i="4" s="1"/>
  <c r="E23" i="4"/>
  <c r="D23" i="4"/>
  <c r="G5" i="4"/>
  <c r="F30" i="4"/>
  <c r="F28" i="4"/>
  <c r="F29" i="4"/>
  <c r="F27" i="4"/>
  <c r="G23" i="4"/>
  <c r="B33" i="4"/>
  <c r="B34" i="4" l="1"/>
  <c r="B35" i="4" s="1"/>
</calcChain>
</file>

<file path=xl/sharedStrings.xml><?xml version="1.0" encoding="utf-8"?>
<sst xmlns="http://schemas.openxmlformats.org/spreadsheetml/2006/main" count="3711" uniqueCount="2014">
  <si>
    <t>PRUEBAS MANUALES - ESTÉTICA Y BELLEZA STRANI</t>
  </si>
  <si>
    <t>Proyecto:</t>
  </si>
  <si>
    <t>Estética y Belleza Strani</t>
  </si>
  <si>
    <t>Fecha:</t>
  </si>
  <si>
    <t>2026-09-03</t>
  </si>
  <si>
    <t>Versión:</t>
  </si>
  <si>
    <t>1.0</t>
  </si>
  <si>
    <t>Entorno:</t>
  </si>
  <si>
    <t>Flutter Web (producción) + Supabase (hhyjremkguvphmjuaazp)</t>
  </si>
  <si>
    <t>Instrucciones:</t>
  </si>
  <si>
    <t>1. Cada hoja representa un módulo o flujo de la aplicación</t>
  </si>
  <si>
    <t>2. Ejecute los pasos en orden y registre el Resultado (Pasa/Falla/Bloqueado/Pendiente)</t>
  </si>
  <si>
    <t>3. Para fallas, documente en la columna Notas el comportamiento observado</t>
  </si>
  <si>
    <t>4. Use la hoja Resumen_ejecucion para ver el estado global</t>
  </si>
  <si>
    <t>5. Prioridades: Crítica (bloquea release), Alta (importante), Media (estándar), Baja (cosmético)</t>
  </si>
  <si>
    <t>6. Tipos: Real (escenario con cuentas reales), Simulado (edge case, error, boundary)</t>
  </si>
  <si>
    <t>Estructura del libro:</t>
  </si>
  <si>
    <t>- Hojas 1-4: Portada, Guía, Matriz de cuentas, Resumen</t>
  </si>
  <si>
    <t>- Hojas 5-17: Casos existentes (01_auth_users a 13_admin_dashboard)</t>
  </si>
  <si>
    <t>- Hojas 18-23: Casos nuevos (14_notificaciones a 19_sesion_web)</t>
  </si>
  <si>
    <t>GUÍA DE EVALUACIÓN</t>
  </si>
  <si>
    <t>Criterios de resultado:</t>
  </si>
  <si>
    <t>Pasa</t>
  </si>
  <si>
    <t>El comportamiento observado coincide con el resultado esperado</t>
  </si>
  <si>
    <t>Falla</t>
  </si>
  <si>
    <t>El comportamiento observado difiere del resultado esperado (bug)</t>
  </si>
  <si>
    <t>Bloqueado</t>
  </si>
  <si>
    <t>No se puede ejecutar por dependencia de otro caso o problema de entorno</t>
  </si>
  <si>
    <t>Pendiente</t>
  </si>
  <si>
    <t>Aún no se ha ejecutado</t>
  </si>
  <si>
    <t>Prioridades:</t>
  </si>
  <si>
    <t>Crítica</t>
  </si>
  <si>
    <t>Bloquea el release. Debe corregirse antes de desplegar</t>
  </si>
  <si>
    <t>Alta</t>
  </si>
  <si>
    <t>Importante para la funcionalidad principal. Debe corregirse pronto</t>
  </si>
  <si>
    <t>Media</t>
  </si>
  <si>
    <t>Estándar. Se corrige en el ciclo normal</t>
  </si>
  <si>
    <t>Baja</t>
  </si>
  <si>
    <t>Cosmético o menor. Se corrige cuando haya tiempo</t>
  </si>
  <si>
    <t>Tipos de escenario:</t>
  </si>
  <si>
    <t>Real</t>
  </si>
  <si>
    <t>Escenario con cuentas de prueba reales, Stripe test mode, emails reales</t>
  </si>
  <si>
    <t>Simulado</t>
  </si>
  <si>
    <t>Edge case, error, boundary, concurrencia forzada, datos inválidos</t>
  </si>
  <si>
    <t>Plantilla para reportar bugs:</t>
  </si>
  <si>
    <t>ID del caso:</t>
  </si>
  <si>
    <t>[ID del caso que falló]</t>
  </si>
  <si>
    <t>Módulo:</t>
  </si>
  <si>
    <t>[Nombre del módulo]</t>
  </si>
  <si>
    <t>Pasos para reproducir:</t>
  </si>
  <si>
    <t>[Lista numerada de pasos]</t>
  </si>
  <si>
    <t>Resultado esperado:</t>
  </si>
  <si>
    <t>[Qué debería pasar]</t>
  </si>
  <si>
    <t>Resultado observado:</t>
  </si>
  <si>
    <t>[Qué pasó realmente]</t>
  </si>
  <si>
    <t>[Browser, versión, OS]</t>
  </si>
  <si>
    <t>Evidencia:</t>
  </si>
  <si>
    <t>[Screenshot, video, logs]</t>
  </si>
  <si>
    <t>Prioridad sugerida:</t>
  </si>
  <si>
    <t>[Crítica/Alta/Media/Baja]</t>
  </si>
  <si>
    <t>MATRIZ DE CUENTAS DE PRUEBA</t>
  </si>
  <si>
    <t>Rol</t>
  </si>
  <si>
    <t>Email</t>
  </si>
  <si>
    <t>Password</t>
  </si>
  <si>
    <t>Estado</t>
  </si>
  <si>
    <t>Notas</t>
  </si>
  <si>
    <t>Uso en pruebas</t>
  </si>
  <si>
    <t>Paciente</t>
  </si>
  <si>
    <t>pac.activo@test</t>
  </si>
  <si>
    <t>Test1234!</t>
  </si>
  <si>
    <t>Activo (perfil completo)</t>
  </si>
  <si>
    <t>Email confirmado, dirección con geo</t>
  </si>
  <si>
    <t>Flujos completos de paciente</t>
  </si>
  <si>
    <t>pac.nuevo@test</t>
  </si>
  <si>
    <t>Inactivo (sin perfil)</t>
  </si>
  <si>
    <t>Recién registrado</t>
  </si>
  <si>
    <t>Onboarding, activación</t>
  </si>
  <si>
    <t>pac.vencido@test</t>
  </si>
  <si>
    <t>VENCIDA</t>
  </si>
  <si>
    <t>Evaluación vencida</t>
  </si>
  <si>
    <t>Re-evaluación</t>
  </si>
  <si>
    <t>pac.rechazado@test</t>
  </si>
  <si>
    <t>Rechazado</t>
  </si>
  <si>
    <t>Evaluación rechazada</t>
  </si>
  <si>
    <t>Feedback re-evaluación</t>
  </si>
  <si>
    <t>pac.desactivado@test</t>
  </si>
  <si>
    <t>Desactivado</t>
  </si>
  <si>
    <t>activo=false</t>
  </si>
  <si>
    <t>Guards, logout forzado</t>
  </si>
  <si>
    <t>Especialista</t>
  </si>
  <si>
    <t>esp.aprobado@test</t>
  </si>
  <si>
    <t>APROBADO</t>
  </si>
  <si>
    <t>Sin geo (pruebas geofencing)</t>
  </si>
  <si>
    <t>Verificación, marketplace</t>
  </si>
  <si>
    <t>esp.nuevo@test</t>
  </si>
  <si>
    <t>Sin verificación</t>
  </si>
  <si>
    <t>Flujo de verificación</t>
  </si>
  <si>
    <t>esp.revision@test</t>
  </si>
  <si>
    <t>EN_REVISION</t>
  </si>
  <si>
    <t>Documentos enviados</t>
  </si>
  <si>
    <t>Revisión admin</t>
  </si>
  <si>
    <t>esp.rechazado@test</t>
  </si>
  <si>
    <t>RECHAZADO</t>
  </si>
  <si>
    <t>Documentos rechazados</t>
  </si>
  <si>
    <t>Feedback, reenvío</t>
  </si>
  <si>
    <t>esp.bloqueado@test</t>
  </si>
  <si>
    <t>BLOQUEADO</t>
  </si>
  <si>
    <t>Bloqueado por admin</t>
  </si>
  <si>
    <t>Guard, logout</t>
  </si>
  <si>
    <t>esp.desactivado@test</t>
  </si>
  <si>
    <t>Administrador</t>
  </si>
  <si>
    <t>admin@test</t>
  </si>
  <si>
    <t>Activo</t>
  </si>
  <si>
    <t>Acceso total</t>
  </si>
  <si>
    <t>Todas las vistas admin</t>
  </si>
  <si>
    <t>Entorno de pruebas:</t>
  </si>
  <si>
    <t>URL:</t>
  </si>
  <si>
    <t>https://esteticaybellezastrani.web.app</t>
  </si>
  <si>
    <t>Supabase:</t>
  </si>
  <si>
    <t>hhyjremkguvphmjuaazp (producción)</t>
  </si>
  <si>
    <t>Stripe:</t>
  </si>
  <si>
    <t>Test mode (tarjetas de prueba)</t>
  </si>
  <si>
    <t>Email:</t>
  </si>
  <si>
    <t>Real (Supabase Auth)</t>
  </si>
  <si>
    <t>RESUMEN EJECUTIVO - CUADRO DE CONTROL</t>
  </si>
  <si>
    <t>1. CONTEO POR MÓDULO</t>
  </si>
  <si>
    <t>Módulo</t>
  </si>
  <si>
    <t>Total</t>
  </si>
  <si>
    <t>% Pase</t>
  </si>
  <si>
    <t>Fallas Críticas</t>
  </si>
  <si>
    <t>01_auth_users</t>
  </si>
  <si>
    <t>02_specialists</t>
  </si>
  <si>
    <t>03_admin_config</t>
  </si>
  <si>
    <t>04_admin_users</t>
  </si>
  <si>
    <t>05_catalog_services</t>
  </si>
  <si>
    <t>06_marketplace_citas</t>
  </si>
  <si>
    <t>07_patients_compliance</t>
  </si>
  <si>
    <t>08_payments_stripe</t>
  </si>
  <si>
    <t>09_treatment_execution</t>
  </si>
  <si>
    <t>10_treatment_photos</t>
  </si>
  <si>
    <t>12_solicitudes_reserva</t>
  </si>
  <si>
    <t>13_admin_dashboard</t>
  </si>
  <si>
    <t>14_Notificaciones</t>
  </si>
  <si>
    <t>15_Calificaciones</t>
  </si>
  <si>
    <t>16_Liquidaciones</t>
  </si>
  <si>
    <t>17_Historial_Liq</t>
  </si>
  <si>
    <t>18_Conciliacion</t>
  </si>
  <si>
    <t>19_Sesion_Web</t>
  </si>
  <si>
    <t>TOTALES</t>
  </si>
  <si>
    <t>2. CONTEO POR PRIORIDAD</t>
  </si>
  <si>
    <t>Prioridad</t>
  </si>
  <si>
    <t>3. COBERTURA</t>
  </si>
  <si>
    <t>Casos totales:</t>
  </si>
  <si>
    <t>Casos ejecutados:</t>
  </si>
  <si>
    <t>% Cobertura:</t>
  </si>
  <si>
    <t>4. FALLAS BLOQUEANTES DE RELEASE</t>
  </si>
  <si>
    <t>Total fallas críticas:</t>
  </si>
  <si>
    <t>Estado:</t>
  </si>
  <si>
    <t>ID</t>
  </si>
  <si>
    <t>Título</t>
  </si>
  <si>
    <t>Precondiciones</t>
  </si>
  <si>
    <t>Pasos</t>
  </si>
  <si>
    <t>Resultado esperado</t>
  </si>
  <si>
    <t>Tipo</t>
  </si>
  <si>
    <t>Resultado</t>
  </si>
  <si>
    <t>AU-H-01</t>
  </si>
  <si>
    <t>01 Auth Users</t>
  </si>
  <si>
    <t>Landing pública</t>
  </si>
  <si>
    <t>Sin sesión</t>
  </si>
  <si>
    <t>1. Abrir la app</t>
  </si>
  <si>
    <t>WelcomeScreen con "Agendar Cita", "Especialistas", "Explorar Servicios"</t>
  </si>
  <si>
    <t>AU-H-02</t>
  </si>
  <si>
    <t>Registro de paciente</t>
  </si>
  <si>
    <t>1. "Agendar Cita" → `/login` 2. Rol Paciente → registro 3. Nombre, email válido, contraseña ≥6 4. Enviar</t>
  </si>
  <si>
    <t>Diálogo de confirmación de correo (`AuthEmailConfirmationSent`); perfil creado con `activo=false`, rol Paciente</t>
  </si>
  <si>
    <t>AU-H-03</t>
  </si>
  <si>
    <t>Confirmación de correo</t>
  </si>
  <si>
    <t>Registro recién hecho</t>
  </si>
  <si>
    <t>1. Abrir el correo 2. Confirmar</t>
  </si>
  <si>
    <t>Cuenta confirmada; login posible. **Nota (2026-08-17)**: el link usa PKCE y el code verifier queda en el mismo browser donde se registró; ya no se borra al cerrar la pestaña, así que confirma aunque haya una sesión previa. Si el enlace se abre desde otro browser/dispositivo no se puede usar: la app lo avisa y sugiere iniciar sesión o reenviar.</t>
  </si>
  <si>
    <t>AU-H-04</t>
  </si>
  <si>
    <t>Login de paciente confirmado</t>
  </si>
  <si>
    <t>Cuenta confirmada</t>
  </si>
  <si>
    <t>1. `/login` 2. Paciente → signIn 3. Email + contraseña correctos</t>
  </si>
  <si>
    <t>`AuthAuthenticated`; redirección por rol (paciente sin perfil completo → `/complete-profile`; completo → `/services`)</t>
  </si>
  <si>
    <t>AU-H-05</t>
  </si>
  <si>
    <t>Login de especialista</t>
  </si>
  <si>
    <t>`esp.aprobado`</t>
  </si>
  <si>
    <t>1. Login con credenciales de especialista</t>
  </si>
  <si>
    <t>Redirección a `/specialist`</t>
  </si>
  <si>
    <t>AU-H-06</t>
  </si>
  <si>
    <t>Login de admin</t>
  </si>
  <si>
    <t>`admin@test`</t>
  </si>
  <si>
    <t>1. Login con credenciales de admin</t>
  </si>
  <si>
    <t>Redirección a `/admin`</t>
  </si>
  <si>
    <t>AU-H-07</t>
  </si>
  <si>
    <t>Restaurar sesión al arrancar</t>
  </si>
  <si>
    <t>Sesión activa previa</t>
  </si>
  <si>
    <t>1. Cerrar la app 2. Reabrir</t>
  </si>
  <si>
    <t>`checkCurrentSession` restaura; no pasa por login</t>
  </si>
  <si>
    <t>AU-H-08</t>
  </si>
  <si>
    <t>Editar perfil</t>
  </si>
  <si>
    <t>Sesión activa</t>
  </si>
  <si>
    <t>1. `/profile` 2. Editar nombre y teléfono 3. Guardar</t>
  </si>
  <si>
    <t>`updateProfile` éxito; datos actualizados al recargar</t>
  </si>
  <si>
    <t>AU-H-09</t>
  </si>
  <si>
    <t>Cambio de contraseña</t>
  </si>
  <si>
    <t>1. `/change-password` 2. Actual correcta, nueva ≥6, confirmación igual 3. Enviar</t>
  </si>
  <si>
    <t>Cambio exitoso; perfil recargado</t>
  </si>
  <si>
    <t>AU-H-10</t>
  </si>
  <si>
    <t>Recuperación de contraseña</t>
  </si>
  <si>
    <t>1. `/login` → "¿Olvidaste tu contraseña?" 2. Email 3. Abrir deep link del correo 4. Nueva contraseña + confirmación</t>
  </si>
  <si>
    <t>`resetPassword` envía correo; `completePasswordReset` actualiza y cierra la sesión temporal (`AuthPasswordChanged`); login con la nueva contraseña funciona</t>
  </si>
  <si>
    <t>AU-H-11</t>
  </si>
  <si>
    <t>Logout con red</t>
  </si>
  <si>
    <t>1. `/profile` 2. Cerrar sesión</t>
  </si>
  <si>
    <t>`signOut` completa; estado `AuthUnauthenticated`; navegación a `/`</t>
  </si>
  <si>
    <t>AU-H-12</t>
  </si>
  <si>
    <t>Deep link de registro</t>
  </si>
  <si>
    <t>1. Abrir `…/login?registro=paciente`</t>
  </si>
  <si>
    <t>LoginScreen abre directamente el alta de paciente</t>
  </si>
  <si>
    <t>AU-V-01</t>
  </si>
  <si>
    <t>Email sin `@` en registro</t>
  </si>
  <si>
    <t>Formulario de registro</t>
  </si>
  <si>
    <t>1. Email `abc.com` 2. Enviar</t>
  </si>
  <si>
    <t>Validator rechaza; no hay llamada al servidor</t>
  </si>
  <si>
    <t>AU-V-02</t>
  </si>
  <si>
    <t>Contraseña &lt;6 en registro</t>
  </si>
  <si>
    <t>1. Contraseña `12345` 2. Enviar</t>
  </si>
  <si>
    <t>Validator rechaza</t>
  </si>
  <si>
    <t>AU-V-03</t>
  </si>
  <si>
    <t>Nombre vacío en registro</t>
  </si>
  <si>
    <t>1. Nombre en blanco 2. Enviar</t>
  </si>
  <si>
    <t>Validator exige nombre</t>
  </si>
  <si>
    <t>AU-V-04</t>
  </si>
  <si>
    <t>Registro de email duplicado</t>
  </si>
  <si>
    <t>Email ya registrado</t>
  </si>
  <si>
    <t>1. Registrar el mismo email</t>
  </si>
  <si>
    <t>Mensaje de error claro del servidor; sin crash</t>
  </si>
  <si>
    <t>AU-V-05</t>
  </si>
  <si>
    <t>Login con contraseña incorrecta</t>
  </si>
  <si>
    <t>1. signIn con contraseña errónea</t>
  </si>
  <si>
    <t>`AuthError` con mensaje; sin crash</t>
  </si>
  <si>
    <t>AU-V-06</t>
  </si>
  <si>
    <t>Login de usuario inexistente</t>
  </si>
  <si>
    <t>—</t>
  </si>
  <si>
    <t>1. signIn con email no registrado</t>
  </si>
  <si>
    <t>Mensaje de error; sin crash</t>
  </si>
  <si>
    <t>AU-V-07</t>
  </si>
  <si>
    <t>Login con email no confirmado</t>
  </si>
  <si>
    <t>Registro sin confirmar</t>
  </si>
  <si>
    <t>1. signIn</t>
  </si>
  <si>
    <t>Diálogo `email_not_confirmed` con opción de reenvío</t>
  </si>
  <si>
    <t>AU-V-08</t>
  </si>
  <si>
    <t>Cambio de contraseña: actual incorrecta</t>
  </si>
  <si>
    <t>1. `/change-password` 2. Actual errónea</t>
  </si>
  <si>
    <t>Error mostrado; contraseña sin cambiar</t>
  </si>
  <si>
    <t>AU-V-09</t>
  </si>
  <si>
    <t>Cambio: nueva &lt;6</t>
  </si>
  <si>
    <t>1. Nueva `12345`</t>
  </si>
  <si>
    <t>AU-V-10</t>
  </si>
  <si>
    <t>Cambio: confirmación no coincide</t>
  </si>
  <si>
    <t>1. Nueva ≠ confirmación</t>
  </si>
  <si>
    <t>AU-V-11</t>
  </si>
  <si>
    <t>Recuperación: confirmación no coincide</t>
  </si>
  <si>
    <t>Deep link abierto</t>
  </si>
  <si>
    <t>1. Passwords distintos en ResetPasswordScreen</t>
  </si>
  <si>
    <t>AU-V-12</t>
  </si>
  <si>
    <t>Admin sin signUp</t>
  </si>
  <si>
    <t>`/login`</t>
  </si>
  <si>
    <t>1. Rol Administrador</t>
  </si>
  <si>
    <t>No hay opción de registro ("acceso por invitación")</t>
  </si>
  <si>
    <t>AU-G-01</t>
  </si>
  <si>
    <t>Sin sesión a ruta privada</t>
  </si>
  <si>
    <t>1. Navegar a `/profile` (deep link)</t>
  </si>
  <si>
    <t>Redirect a `/`</t>
  </si>
  <si>
    <t>AU-G-02</t>
  </si>
  <si>
    <t>Sin sesión a `/admin`</t>
  </si>
  <si>
    <t>1. Deep link `/admin`</t>
  </si>
  <si>
    <t>AU-G-03</t>
  </si>
  <si>
    <t>Paciente a `/admin`</t>
  </si>
  <si>
    <t>Sesión de paciente</t>
  </si>
  <si>
    <t>Redirect por rol (a `/services`)</t>
  </si>
  <si>
    <t>AU-G-04</t>
  </si>
  <si>
    <t>Paciente a `/specialist`</t>
  </si>
  <si>
    <t>1. Deep link `/specialist`</t>
  </si>
  <si>
    <t>Redirect por rol</t>
  </si>
  <si>
    <t>AU-G-05</t>
  </si>
  <si>
    <t>Especialista a `/admin`</t>
  </si>
  <si>
    <t>Sesión de especialista</t>
  </si>
  <si>
    <t>Redirect a `/specialist`</t>
  </si>
  <si>
    <t>AU-G-06</t>
  </si>
  <si>
    <t>No-paciente a `/complete-profile`</t>
  </si>
  <si>
    <t>1. Deep link `/complete-profile`</t>
  </si>
  <si>
    <t>AU-G-07</t>
  </si>
  <si>
    <t>Logueado visita `/login`</t>
  </si>
  <si>
    <t>1. Navegar a `/login`</t>
  </si>
  <si>
    <t>Redirect inmediato por rol (Admin→`/admin`, Especialista→`/specialist`, Paciente→`/services`)</t>
  </si>
  <si>
    <t>AU-G-08</t>
  </si>
  <si>
    <t>Especialista desactivado</t>
  </si>
  <si>
    <t>`esp.desactivado` (`activo=false`)</t>
  </si>
  <si>
    <t>1. Login 2. Navegar cualquier ruta</t>
  </si>
  <si>
    <t>Guard fuerza `signOut` + redirect a `/`</t>
  </si>
  <si>
    <t>AU-G-09</t>
  </si>
  <si>
    <t>Admin desactivado</t>
  </si>
  <si>
    <t>Admin con `activo=false`</t>
  </si>
  <si>
    <t>1. Login 2. Navegar</t>
  </si>
  <si>
    <t>Logout forzado</t>
  </si>
  <si>
    <t>AU-G-10</t>
  </si>
  <si>
    <t>Paciente desactivado</t>
  </si>
  <si>
    <t>`pac.desactivado`</t>
  </si>
  <si>
    <t>1. Login 2. Intentar `/services`</t>
  </si>
  <si>
    <t>Solo puede estar en `/complete-profile`, `/face-map-questionnaire`, `/services`, `/auth/reset-password`; el resto → `/complete-profile`</t>
  </si>
  <si>
    <t>Verificar si `/services` está realmente permitido para desactivados</t>
  </si>
  <si>
    <t>AU-G-11</t>
  </si>
  <si>
    <t>Rutas públicas sin sesión</t>
  </si>
  <si>
    <t>1. Visitar `/`, `/services`, `/face-map-questionnaire`, `/auth/reset-password`</t>
  </si>
  <si>
    <t>Accesibles sin redirect</t>
  </si>
  <si>
    <t>AU-E-01</t>
  </si>
  <si>
    <t>Ciclo de estados de login</t>
  </si>
  <si>
    <t>1. signIn válido</t>
  </si>
  <si>
    <t>Secuencia `AuthLoading` → `AuthAuthenticated(profile)`; sin estados de error intermedios</t>
  </si>
  <si>
    <t>AU-E-02</t>
  </si>
  <si>
    <t>`refreshProfile` tras edición</t>
  </si>
  <si>
    <t>1. `updateProfile`</t>
  </si>
  <si>
    <t>Perfil recargado sin pantalla de loading completa</t>
  </si>
  <si>
    <t>AU-E-03</t>
  </si>
  <si>
    <t>Aviso de cuenta pendiente</t>
  </si>
  <si>
    <t>Perfil con `activo=false`</t>
  </si>
  <si>
    <t>1. Abrir `/profile`</t>
  </si>
  <si>
    <t>Aviso "Cuenta pendiente de activación" visible</t>
  </si>
  <si>
    <t>AU-E-04</t>
  </si>
  <si>
    <t>`AuthPasswordChanged` tras reset</t>
  </si>
  <si>
    <t>Deep link recovery</t>
  </si>
  <si>
    <t>1. Completar reset</t>
  </si>
  <si>
    <t>Estado emitido; sesión temporal cerrada; navegación a login</t>
  </si>
  <si>
    <t>AU-E-05</t>
  </si>
  <si>
    <t>`detached` limpia sesión local</t>
  </si>
  <si>
    <t>1. Cerrar app hasta `detached`</t>
  </si>
  <si>
    <t>**Cambiado (2026-08-17)**: web elimina solo el token de sesión (localStorage) y conserva el code verifier PKCE para enlaces pendientes; mobile conserva el signOut local de gotrue (sesión + verifier)</t>
  </si>
  <si>
    <t>AU-N-01</t>
  </si>
  <si>
    <t>⚑ Logout sin red</t>
  </si>
  <si>
    <t>Sesión activa, modo avión</t>
  </si>
  <si>
    <t>1. Cerrar sesión</t>
  </si>
  <si>
    <t>La sesión local se limpia igualmente (try/catch del datasource); navegación a `/` sin `AuthError`</t>
  </si>
  <si>
    <t>AU-N-02</t>
  </si>
  <si>
    <t>Login sin red</t>
  </si>
  <si>
    <t>Modo avión</t>
  </si>
  <si>
    <t>`ServerFailure` → `AuthError` con mensaje; sin crash</t>
  </si>
  <si>
    <t>AU-N-03</t>
  </si>
  <si>
    <t>`.env` incompleto</t>
  </si>
  <si>
    <t>Sin `SUPABASE_URL`</t>
  </si>
  <si>
    <t>1. Arrancar la app</t>
  </si>
  <si>
    <t>`AppEnv.validate()` lanza `StateError`; pantalla de error controlada (`_ErrorApp`)</t>
  </si>
  <si>
    <t>AU-N-04</t>
  </si>
  <si>
    <t>FCM sin Firebase configurado</t>
  </si>
  <si>
    <t>1. Autenticarse</t>
  </si>
  <si>
    <t>Registro FCM degrada sin crash; el flujo continúa</t>
  </si>
  <si>
    <t>AU-N-05</t>
  </si>
  <si>
    <t>FCM con Firebase</t>
  </si>
  <si>
    <t>Token registrado/upsert en `dispositivos_usuario` (onConflict `token_fcm`)</t>
  </si>
  <si>
    <t>AU-N-06</t>
  </si>
  <si>
    <t>Token expirado al arrancar</t>
  </si>
  <si>
    <t>Sesión vieja</t>
  </si>
  <si>
    <t>1. Dejar expirar refresh token 2. Reabrir</t>
  </si>
  <si>
    <t>Auto-refresh o `AuthUnauthenticated`; nunca sesión zombie</t>
  </si>
  <si>
    <t>AU-S-01</t>
  </si>
  <si>
    <t>Logout fantasma en ProfileScreen</t>
  </si>
  <si>
    <t>Sesión activa, perfil en modo no-edición</t>
  </si>
  <si>
    <t>1. Abrir `/profile` sin editar 2. Pulsar el botón de logout</t>
  </si>
  <si>
    <t>**RESUELTO (2026-08-14)**: el botón ahora ejecuta `AuthCubit.signOut()`; navega a `/login` vía BlocListener. Verificar que cierra sesión realmente</t>
  </si>
  <si>
    <t>AU-S-02</t>
  </si>
  <si>
    <t>Fallback de nombre vacío</t>
  </si>
  <si>
    <t>Registro</t>
  </si>
  <si>
    <t>1. Registrar con nombre vacío si el validator lo permite</t>
  </si>
  <si>
    <t>El fallback usa la parte local del email; verificar que no cree perfiles con nombre `null`</t>
  </si>
  <si>
    <t>AU-S-03</t>
  </si>
  <si>
    <t>`createProfile` tolerante</t>
  </si>
  <si>
    <t>Registro nuevo</t>
  </si>
  <si>
    <t>1. Registrar paciente y especialista</t>
  </si>
  <si>
    <t>Paciente nace `activo=false`; especialista/admin `activo=true`; los upserts con fallback nunca lanzan</t>
  </si>
  <si>
    <t>SP-H-01</t>
  </si>
  <si>
    <t>02 Specialists</t>
  </si>
  <si>
    <t>Onboarding completo</t>
  </si>
  <si>
    <t>`esp.nuevo` logueado</t>
  </si>
  <si>
    <t>1. Entrar a `/specialist` 2. Paso 1: nombre, teléfono, tarifa, dirección (geocoding + mapa) 3. Paso 2: médico regente activo, ≥1 especialidad 4. Enviar</t>
  </si>
  <si>
    <t>`createSpecialist` + `guardarEspecialidades` + `saveLocation` (EWKT `SRID=4326;POINT(lng lat)`); navega a documentos</t>
  </si>
  <si>
    <t>SP-H-02</t>
  </si>
  <si>
    <t>Subida de documentos requeridos</t>
  </si>
  <si>
    <t>Perfil creado</t>
  </si>
  <si>
    <t>1. `/specialist/documents` 2. Subir IDENTIFICACION 3. Subir LICENCIA</t>
  </si>
  <si>
    <t>Archivos en bucket `documentos-especialistas` (`&lt;espId&gt;/&lt;ts&gt;.&lt;ext&gt;`); filas con `estado_revision=PENDIENTE`, `activo=true`</t>
  </si>
  <si>
    <t>SP-H-03</t>
  </si>
  <si>
    <t>Solicitar verificación</t>
  </si>
  <si>
    <t>Ambos documentos subidos</t>
  </si>
  <si>
    <t>1. Pulsar "Continuar"</t>
  </si>
  <si>
    <t>`solicitarVerificacion` → estado `EN_REVISION`; navega al home</t>
  </si>
  <si>
    <t>SP-H-04</t>
  </si>
  <si>
    <t>Home del aprobado</t>
  </si>
  <si>
    <t>1. Entrar a `/specialist`</t>
  </si>
  <si>
    <t>Tarjetas: verificación APROBADO, perfil, disponibilidad, documentos, contrato; `_MapaPacientesCard` y `_MisCitasCard` visibles (aprobado + disponible)</t>
  </si>
  <si>
    <t>SP-H-05</t>
  </si>
  <si>
    <t>Toggle de disponibilidad</t>
  </si>
  <si>
    <t>Home cargado</t>
  </si>
  <si>
    <t>1. Activar/desactivar switch</t>
  </si>
  <si>
    <t>Upsert en disponibilidad + `especialistas.disponible` sincronizado</t>
  </si>
  <si>
    <t>SP-H-06</t>
  </si>
  <si>
    <t>Firma de contrato</t>
  </si>
  <si>
    <t>Sin contrato firmado</t>
  </si>
  <si>
    <t>1. `/specialist/contract` 2. Dibujar firma 3. Confirmar</t>
  </si>
  <si>
    <t>PNG en bucket `contratos`; `firmarContrato` con `metodo_firma=TOUCH`; `contrato.firmado=true`</t>
  </si>
  <si>
    <t>SP-H-07</t>
  </si>
  <si>
    <t>Guardar ubicación</t>
  </si>
  <si>
    <t>Onboarding o perfil</t>
  </si>
  <si>
    <t>1. Elegir punto en el mapa 2. Guardar</t>
  </si>
  <si>
    <t>`ubicaciones_especialista` con geometría EWKT correcta</t>
  </si>
  <si>
    <t>SP-H-08</t>
  </si>
  <si>
    <t>Pull-to-refresh del home</t>
  </si>
  <si>
    <t>1. Deslizar hacia abajo</t>
  </si>
  <si>
    <t>`loadDashboard` recarga todo sin duplicar estado</t>
  </si>
  <si>
    <t>SP-H-09</t>
  </si>
  <si>
    <t>Edición de perfil personal</t>
  </si>
  <si>
    <t>Perfil existente</t>
  </si>
  <si>
    <t>1. `/specialist/profile` 2. Editar nombre/teléfono/dirección/tarifa 3. Guardar</t>
  </si>
  <si>
    <t>Actualiza `profiles` + datos personales; verificación intacta</t>
  </si>
  <si>
    <t>SP-H-10</t>
  </si>
  <si>
    <t>Edición de perfil profesional</t>
  </si>
  <si>
    <t>1. Editar licencia/médico regente/especialidades 2. Guardar</t>
  </si>
  <si>
    <t>`actualizarDatosProfesionales` + `guardarEspecialidades` (reemplaza conjunto: delete+insert)</t>
  </si>
  <si>
    <t>SP-V-01</t>
  </si>
  <si>
    <t>Paso 1 con campos vacíos</t>
  </si>
  <si>
    <t>Onboarding</t>
  </si>
  <si>
    <t>1. Dejar nombre/teléfono/dirección vacíos 2. Continuar</t>
  </si>
  <si>
    <t>Validators bloquean el paso</t>
  </si>
  <si>
    <t>SP-V-02</t>
  </si>
  <si>
    <t>Paso 2 sin especialidades</t>
  </si>
  <si>
    <t>Onboarding paso 2</t>
  </si>
  <si>
    <t>1. Sin seleccionar especialidad 2. Enviar</t>
  </si>
  <si>
    <t>Snackbar exigiendo ≥1 especialidad; no se guarda</t>
  </si>
  <si>
    <t>SP-V-03</t>
  </si>
  <si>
    <t>Médico regente obligatorio</t>
  </si>
  <si>
    <t>1. Dropdown vacío 2. Enviar</t>
  </si>
  <si>
    <t>Validator obliga a seleccionar</t>
  </si>
  <si>
    <t>SP-V-04</t>
  </si>
  <si>
    <t>Dropdown solo muestra activos</t>
  </si>
  <si>
    <t>Médicos regentes con uno PENDIENTE</t>
  </si>
  <si>
    <t>1. Abrir dropdown</t>
  </si>
  <si>
    <t>Solo aparecen ACTIVOS</t>
  </si>
  <si>
    <t>SP-V-05</t>
  </si>
  <si>
    <t>Nuevo médico regente</t>
  </si>
  <si>
    <t>1. Diálogo "registrar médico regente" 2. Datos válidos</t>
  </si>
  <si>
    <t>Creado con `PENDIENTE`/`activo=false`; queda seleccionado pero no cuenta como válido hasta aprobación admin</t>
  </si>
  <si>
    <t>SP-V-06</t>
  </si>
  <si>
    <t>Firma vacía</t>
  </si>
  <si>
    <t>`/specialist/contract`</t>
  </si>
  <si>
    <t>1. Sin dibujar nada 2. Confirmar</t>
  </si>
  <si>
    <t>Validación impide firmar</t>
  </si>
  <si>
    <t>SP-V-07</t>
  </si>
  <si>
    <t>Subida de archivo inválido</t>
  </si>
  <si>
    <t>Documentos</t>
  </si>
  <si>
    <t>1. Archivo corrupto o extensión extraña</t>
  </si>
  <si>
    <t>Error controlado por snackbar; sin crash</t>
  </si>
  <si>
    <t>SP-V-08</t>
  </si>
  <si>
    <t>"Continuar" deshabilitado</t>
  </si>
  <si>
    <t>Falta IDENTIFICACION o LICENCIA</t>
  </si>
  <si>
    <t>1. Observar el botón</t>
  </si>
  <si>
    <t>Deshabilitado hasta tener ambos requeridos</t>
  </si>
  <si>
    <t>SP-G-01</t>
  </si>
  <si>
    <t>Paciente a rutas de especialista</t>
  </si>
  <si>
    <t>1. Deep link `/specialist`, `/specialist/documents`, `/specialist/contract`</t>
  </si>
  <si>
    <t>SP-G-02</t>
  </si>
  <si>
    <t>Sin sesión a `/specialist`</t>
  </si>
  <si>
    <t>1. Deep link</t>
  </si>
  <si>
    <t>SP-G-03</t>
  </si>
  <si>
    <t>Dueño no puede auto-aprobarse</t>
  </si>
  <si>
    <t>`esp.revision`</t>
  </si>
  <si>
    <t>1. Intentar update directo de `estado_verificacion` (vía cliente/consola)</t>
  </si>
  <si>
    <t>Trigger `trg_proteger_verificacion_especialista` lo impide; el dueño solo INSERT en PENDIENTE y autosolicitud `PENDIENTE/RECHAZADO → EN_REVISION`</t>
  </si>
  <si>
    <t>SP-G-04</t>
  </si>
  <si>
    <t>Dueño no puede revisar sus documentos</t>
  </si>
  <si>
    <t>1. Intentar update de `estado_revision`/`revisado_por`</t>
  </si>
  <si>
    <t>Trigger `trg_proteger_revision_documento` lo impide</t>
  </si>
  <si>
    <t>SP-G-05</t>
  </si>
  <si>
    <t>RLS de documentos</t>
  </si>
  <si>
    <t>`esp.nuevo`</t>
  </si>
  <si>
    <t>1. Listar documentos propios</t>
  </si>
  <si>
    <t>Solo ve sus propios documentos</t>
  </si>
  <si>
    <t>SP-E-01</t>
  </si>
  <si>
    <t>Redirect sin perfil</t>
  </si>
  <si>
    <t>Especialista sin registro</t>
  </si>
  <si>
    <t>BlocListener redirige a onboarding con `extra:''`</t>
  </si>
  <si>
    <t>SP-E-02</t>
  </si>
  <si>
    <t>Redirect sin datos profesionales</t>
  </si>
  <si>
    <t>Perfil sin médico regente o sin especialidades</t>
  </si>
  <si>
    <t>Redirect a onboarding con id</t>
  </si>
  <si>
    <t>SP-E-03</t>
  </si>
  <si>
    <t>Redirect por documentos faltantes</t>
  </si>
  <si>
    <t>Perfil completo, sin IDENTIFICACION/LICENCIA activos</t>
  </si>
  <si>
    <t>Redirect a documentos</t>
  </si>
  <si>
    <t>SP-E-04</t>
  </si>
  <si>
    <t>Rechazado no es redirigido</t>
  </si>
  <si>
    <t>`esp.rechazado` con docs faltantes</t>
  </si>
  <si>
    <t>Se queda en el home para leer el motivo (excepción del redirect)</t>
  </si>
  <si>
    <t>SP-E-05</t>
  </si>
  <si>
    <t>Motivo de rechazo visible</t>
  </si>
  <si>
    <t>`esp.rechazado`</t>
  </si>
  <si>
    <t>1. Ver `_VerificationCard`</t>
  </si>
  <si>
    <t>Estado RECHAZADO + observación en rojo + botón "Corregir y reenviar"</t>
  </si>
  <si>
    <t>SP-E-06</t>
  </si>
  <si>
    <t>Reenvío tras rechazo</t>
  </si>
  <si>
    <t>1. Corregir documentos 2. "Corregir y reenviar"</t>
  </si>
  <si>
    <t>`solicitarVerificacion` → `EN_REVISION` de nuevo</t>
  </si>
  <si>
    <t>SP-E-07</t>
  </si>
  <si>
    <t>Documento rechazado exige re-subida</t>
  </si>
  <si>
    <t>Documento con `estado_revision=RECHAZADO` (`activo=false`)</t>
  </si>
  <si>
    <t>1. Entrar al home</t>
  </si>
  <si>
    <t>El home vuelve a exigir el documento (cuenta como no subido); re-subir crea nueva fila</t>
  </si>
  <si>
    <t>SP-E-08</t>
  </si>
  <si>
    <t>`esp.bloqueado`</t>
  </si>
  <si>
    <t>Estado BLOQUEADO con observación visible; sin acceso a mapa/citas</t>
  </si>
  <si>
    <t>SP-E-09</t>
  </si>
  <si>
    <t>Transiciones válidas de verificación</t>
  </si>
  <si>
    <t>Distintos estados</t>
  </si>
  <si>
    <t>1. Verificar matriz: PENDIENTE→EN_REVISION (dueño); EN_REVISION→APROBADO/RECHAZADO (admin); APROBADO→BLOQUEADO (admin)</t>
  </si>
  <si>
    <t>Solo el rol autorizado dispara cada transición</t>
  </si>
  <si>
    <t>SP-E-10</t>
  </si>
  <si>
    <t>Presencia heartbeat</t>
  </si>
  <si>
    <t>1. Mantener app abierta 60+ s</t>
  </si>
  <si>
    <t>`en_linea=true`, `ultima_conexion` actualizada cada ~60 s</t>
  </si>
  <si>
    <t>SP-E-11</t>
  </si>
  <si>
    <t>Offline al pausar</t>
  </si>
  <si>
    <t>1. Enviar app a segundo plano</t>
  </si>
  <si>
    <t>Marca offline al pausar; limpia sesión local en `detached`</t>
  </si>
  <si>
    <t>SP-N-01</t>
  </si>
  <si>
    <t>Onboarding sin red</t>
  </si>
  <si>
    <t>1. Enviar onboarding</t>
  </si>
  <si>
    <t>`ServerFailure` → estado `SpecialistsError` con mensaje; sin crash</t>
  </si>
  <si>
    <t>SP-N-02</t>
  </si>
  <si>
    <t>Subida de documento sin red</t>
  </si>
  <si>
    <t>1. Subir archivo</t>
  </si>
  <si>
    <t>Error controlado; sin fila huérfana con URL inválida</t>
  </si>
  <si>
    <t>SP-N-03</t>
  </si>
  <si>
    <t>Geocoding sin red / edge function caída</t>
  </si>
  <si>
    <t>Dirección nueva</t>
  </si>
  <si>
    <t>1. Geocodificar</t>
  </si>
  <si>
    <t>Fallback o error claro; el usuario puede elegir punto en mapa</t>
  </si>
  <si>
    <t>SP-N-04</t>
  </si>
  <si>
    <t>Dashboard con tablas vacías</t>
  </si>
  <si>
    <t>Especialista recién creado</t>
  </si>
  <si>
    <t>1. `loadDashboard`</t>
  </si>
  <si>
    <t>Estado `Loaded` con colecciones vacías; sin null errors</t>
  </si>
  <si>
    <t>SP-N-05</t>
  </si>
  <si>
    <t>`createSpecialist` duplicado</t>
  </si>
  <si>
    <t>Especialista ya existente</t>
  </si>
  <si>
    <t>1. Forzar segunda creación</t>
  </si>
  <si>
    <t>Violación de unicidad (23505/duplicate) tolerada → recarga dashboard</t>
  </si>
  <si>
    <t>SP-S-01</t>
  </si>
  <si>
    <t>Licencia perdida en `_VerificationCard`</t>
  </si>
  <si>
    <t>Especialista sin perfil</t>
  </si>
  <si>
    <t>1. Teclear licencia en el campo 2. Provocar rebuild (teclado, resize, scroll) 3. Revisar el campo</t>
  </si>
  <si>
    <t>**RESUELTO (2026-08-14)**: `_VerificationCard` es ahora StatefulWidget con controller persistente; el texto ya no se pierde en rebuilds</t>
  </si>
  <si>
    <t>SP-S-02</t>
  </si>
  <si>
    <t>Botón envía licencia vacía</t>
  </si>
  <si>
    <t>1. Teclear licencia 2. Pulsar "Solicitar verificación"</t>
  </si>
  <si>
    <t>**RESUELTO (2026-08-14)**: el botón envía la licencia tecleada (`_enviar`); si está vacía muestra snackbar y no crea el especialista</t>
  </si>
  <si>
    <t>SP-S-03</t>
  </si>
  <si>
    <t>Carrera de `solicitarVerificacion`</t>
  </si>
  <si>
    <t>Documentos completos</t>
  </si>
  <si>
    <t>1. Pulsar "Continuar" 2. Observar el home inmediatamente</t>
  </si>
  <si>
    <t>**Confirmar bug**: `go(home)` sin `await` → el home puede mostrar PENDIENTE en vez de EN_REVISION (refrescar después corrige)</t>
  </si>
  <si>
    <t>SP-S-04</t>
  </si>
  <si>
    <t>`version_documento` no incrementa</t>
  </si>
  <si>
    <t>Documento re-subido</t>
  </si>
  <si>
    <t>1. Re-subir el mismo tipo de documento</t>
  </si>
  <si>
    <t>`version_documento` queda en 1 siempre; verificar si se pierde trazabilidad</t>
  </si>
  <si>
    <t>SP-S-05</t>
  </si>
  <si>
    <t>Disponibilidad sin ubicación</t>
  </si>
  <si>
    <t>Sin `ubicaciones_especialista`</t>
  </si>
  <si>
    <t>1. Activar disponibilidad</t>
  </si>
  <si>
    <t>No rompe; el mapa luego no tendrá punto propio</t>
  </si>
  <si>
    <t>AC-H-01</t>
  </si>
  <si>
    <t>03 Admin Config</t>
  </si>
  <si>
    <t>Carga del panel</t>
  </si>
  <si>
    <t>Admin logueado</t>
  </si>
  <si>
    <t>1. Entrar a `/admin`</t>
  </si>
  <si>
    <t>`loadAllEspecialistas()`: lista con badge de estado, licencia, fecha de solicitud; documentos por especialista; médicos regentes</t>
  </si>
  <si>
    <t>AC-H-02</t>
  </si>
  <si>
    <t>Aprobar especialista</t>
  </si>
  <si>
    <t>1. Pulsar "Aprobar"</t>
  </si>
  <si>
    <t>`updateVerificacion` → `APROBADO`, `activo=true`, `aprobadoPor`=id del admin, fechas; observación limpiada</t>
  </si>
  <si>
    <t>AC-H-03</t>
  </si>
  <si>
    <t>Rechazar con motivo</t>
  </si>
  <si>
    <t>1. "Rechazar" 2. Escribir motivo 3. Confirmar</t>
  </si>
  <si>
    <t>`RECHAZADO` + observación guardada; el especialista ve el motivo en su home</t>
  </si>
  <si>
    <t>AC-H-04</t>
  </si>
  <si>
    <t>Bloquear con motivo</t>
  </si>
  <si>
    <t>1. "Bloquear" 2. Motivo 3. Confirmar</t>
  </si>
  <si>
    <t>`BLOQUEADO` + observación; especialista pierde acceso al marketplace</t>
  </si>
  <si>
    <t>AC-H-05</t>
  </si>
  <si>
    <t>Ver documento</t>
  </si>
  <si>
    <t>Documento con adjunto</t>
  </si>
  <si>
    <t>1. Pulsar "Ver"</t>
  </si>
  <si>
    <t>`url_launcher` abre la URL del archivo</t>
  </si>
  <si>
    <t>AC-H-06</t>
  </si>
  <si>
    <t>Aprobar documento</t>
  </si>
  <si>
    <t>Documento EN_REVISION</t>
  </si>
  <si>
    <t>1. "Aprobar documento"</t>
  </si>
  <si>
    <t>`revisarDocumento` → `APROBADO`, `activo=true`, `revisado_por`, `fecha_revision`</t>
  </si>
  <si>
    <t>AC-H-07</t>
  </si>
  <si>
    <t>Rechazar documento</t>
  </si>
  <si>
    <t>1. "Rechazar documento" 2. Motivo</t>
  </si>
  <si>
    <t>`RECHAZADO` + `observacion_revision` + `activo=false`</t>
  </si>
  <si>
    <t>AC-H-08</t>
  </si>
  <si>
    <t>Aprobar médico regente</t>
  </si>
  <si>
    <t>Médico PENDIENTE</t>
  </si>
  <si>
    <t>1. "Aprobar médico regente"</t>
  </si>
  <si>
    <t>`aprobarMedicoRegente` → ACTIVO; aparece en dropdowns de onboarding</t>
  </si>
  <si>
    <t>AC-H-09</t>
  </si>
  <si>
    <t>Enlace a usuarios</t>
  </si>
  <si>
    <t>Panel cargado</t>
  </si>
  <si>
    <t>1. Pulsar enlace a `/admin/usuarios`</t>
  </si>
  <si>
    <t>Navega correctamente</t>
  </si>
  <si>
    <t>AC-V-01</t>
  </si>
  <si>
    <t>Rechazo con motivo vacío</t>
  </si>
  <si>
    <t>Diálogo de motivo</t>
  </si>
  <si>
    <t>1. Confirmar con texto vacío</t>
  </si>
  <si>
    <t>**Confirmar comportamiento**: el diálogo permite confirmar vacío → `observacion=null`; verificar qué ve el especialista (sin motivo)</t>
  </si>
  <si>
    <t>AC-V-02</t>
  </si>
  <si>
    <t>Motivo &gt;500 caracteres</t>
  </si>
  <si>
    <t>1. Teclear 501 caracteres</t>
  </si>
  <si>
    <t>`maxLength 500` recorta; no se envía más</t>
  </si>
  <si>
    <t>AC-V-03</t>
  </si>
  <si>
    <t>Documento sin adjunto</t>
  </si>
  <si>
    <t>Fila sin archivo</t>
  </si>
  <si>
    <t>Snackbar indicando que no hay adjunto; sin crash</t>
  </si>
  <si>
    <t>AC-V-04</t>
  </si>
  <si>
    <t>Lista vacía</t>
  </si>
  <si>
    <t>Sin especialistas</t>
  </si>
  <si>
    <t>1. Cargar panel</t>
  </si>
  <si>
    <t>Vista vacía controlada; sin crash</t>
  </si>
  <si>
    <t>AC-G-01</t>
  </si>
  <si>
    <t>Guard redirige por rol</t>
  </si>
  <si>
    <t>AC-G-02</t>
  </si>
  <si>
    <t>Guard redirige a `/specialist`</t>
  </si>
  <si>
    <t>AC-G-03</t>
  </si>
  <si>
    <t>AC-G-04</t>
  </si>
  <si>
    <t>RLS de aprobación</t>
  </si>
  <si>
    <t>Paciente/especialista</t>
  </si>
  <si>
    <t>1. Intentar `updateVerificacion` vía cliente</t>
  </si>
  <si>
    <t>RLS/policies lo impiden; solo `Administrador`</t>
  </si>
  <si>
    <t>AC-G-05</t>
  </si>
  <si>
    <t>Admin ve especialistas pendientes</t>
  </si>
  <si>
    <t>Admin</t>
  </si>
  <si>
    <t>`loadAllEspecialistas` incluye médicos regentes PENDIENTE y documentos de todos</t>
  </si>
  <si>
    <t>AC-E-01</t>
  </si>
  <si>
    <t>Badge por estado</t>
  </si>
  <si>
    <t>Especialistas en cada estado</t>
  </si>
  <si>
    <t>1. Revisar la lista</t>
  </si>
  <si>
    <t>Badge correcto para PENDIENTE/EN_REVISION/APROBADO/RECHAZADO/BLOQUEADO</t>
  </si>
  <si>
    <t>AC-E-02</t>
  </si>
  <si>
    <t>Motivo visible en lista</t>
  </si>
  <si>
    <t>Rechazado/bloqueado</t>
  </si>
  <si>
    <t>1. Revisar tarjeta</t>
  </si>
  <si>
    <t>Motivo de rechazo/bloqueo mostrado</t>
  </si>
  <si>
    <t>AC-E-03</t>
  </si>
  <si>
    <t>Efecto de aprobar en el especialista</t>
  </si>
  <si>
    <t>1. Aprobar 2. Login como el especialista</t>
  </si>
  <si>
    <t>Especialista ve APROBADO; tarjetas de mapa/citas disponibles si cumple el resto</t>
  </si>
  <si>
    <t>AC-E-04</t>
  </si>
  <si>
    <t>Efecto de bloquear en sesión activa</t>
  </si>
  <si>
    <t>⚑ `esp.aprobado` con sesión abierta en otro dispositivo</t>
  </si>
  <si>
    <t>1. Bloquear como admin 2. Navegar en el dispositivo del especialista</t>
  </si>
  <si>
    <t>Guard detecta `activo=false`/bloqueado y fuerza logout</t>
  </si>
  <si>
    <t>AC-E-05</t>
  </si>
  <si>
    <t>Documentos por especialista</t>
  </si>
  <si>
    <t>Varios documentos</t>
  </si>
  <si>
    <t>1. Expandir sección</t>
  </si>
  <si>
    <t>Cada documento con su estado de revisión y acciones</t>
  </si>
  <si>
    <t>AC-N-01</t>
  </si>
  <si>
    <t>Carga sin red</t>
  </si>
  <si>
    <t>`_ErrorView` con botón "Reintentar"</t>
  </si>
  <si>
    <t>AC-N-02</t>
  </si>
  <si>
    <t>Acción sin red</t>
  </si>
  <si>
    <t>1. Aprobar</t>
  </si>
  <si>
    <t>Snackbar de error; estado sin cambiar</t>
  </si>
  <si>
    <t>AC-N-03</t>
  </si>
  <si>
    <t>Reintentar tras error</t>
  </si>
  <si>
    <t>Error de carga previo</t>
  </si>
  <si>
    <t>1. Pulsar "Reintentar"</t>
  </si>
  <si>
    <t>Recarga el panel correctamente</t>
  </si>
  <si>
    <t>AC-N-04</t>
  </si>
  <si>
    <t>URL de documento rota</t>
  </si>
  <si>
    <t>URL inválida en BD</t>
  </si>
  <si>
    <t>1. "Ver"</t>
  </si>
  <si>
    <t>Error controlado; sin crash</t>
  </si>
  <si>
    <t>AC-S-01</t>
  </si>
  <si>
    <t>Módulo sin datasource propio</t>
  </si>
  <si>
    <t>1. Revisar que toda acción pasa por SpecialistsCubit</t>
  </si>
  <si>
    <t>Documentar dependencia: admin_config no tiene DI propio; fallos del módulo specialists afectan este panel</t>
  </si>
  <si>
    <t>AC-S-02</t>
  </si>
  <si>
    <t>Bloqueo sin motivo</t>
  </si>
  <si>
    <t>Diálogo</t>
  </si>
  <si>
    <t>1. Bloquear con motivo vacío</t>
  </si>
  <si>
    <t>`observacion=null`; especialista bloqueado sin explicación — decidir si es aceptable</t>
  </si>
  <si>
    <t>AUU-H-01</t>
  </si>
  <si>
    <t>04 Admin Users</t>
  </si>
  <si>
    <t>Carga de usuarios</t>
  </si>
  <si>
    <t>1. Entrar a `/admin/usuarios`</t>
  </si>
  <si>
    <t>Lista de profiles (email, full_name, phone, role, activo) ordenada por `created_at`</t>
  </si>
  <si>
    <t>AUU-H-02</t>
  </si>
  <si>
    <t>Desactivar paciente</t>
  </si>
  <si>
    <t>Paciente activo</t>
  </si>
  <si>
    <t>1. Apagar switch del paciente</t>
  </si>
  <si>
    <t>`setActivo(userId,false)`; lista recargada con el cambio</t>
  </si>
  <si>
    <t>AUU-H-03</t>
  </si>
  <si>
    <t>Reactivar paciente</t>
  </si>
  <si>
    <t>1. Encender switch</t>
  </si>
  <si>
    <t>`activo=true`; el paciente vuelve a operar normal</t>
  </si>
  <si>
    <t>AUU-H-04</t>
  </si>
  <si>
    <t>Desactivar especialista</t>
  </si>
  <si>
    <t>Especialista activo</t>
  </si>
  <si>
    <t>1. Apagar switch</t>
  </si>
  <si>
    <t>Éxito + recarga</t>
  </si>
  <si>
    <t>AUU-V-01</t>
  </si>
  <si>
    <t>Sin usuarios</t>
  </si>
  <si>
    <t>BD sin profiles</t>
  </si>
  <si>
    <t>1. Cargar</t>
  </si>
  <si>
    <t>Mensaje "No hay usuarios registrados."</t>
  </si>
  <si>
    <t>AUU-V-02</t>
  </si>
  <si>
    <t>`setActivo` falla</t>
  </si>
  <si>
    <t>Sin red</t>
  </si>
  <si>
    <t>1. Toggle</t>
  </si>
  <si>
    <t>Snackbar de error; switch vuelve al estado previo tras recarga</t>
  </si>
  <si>
    <t>AUU-G-01</t>
  </si>
  <si>
    <t>No-admin a `/admin/usuarios`</t>
  </si>
  <si>
    <t>Sesión de paciente o especialista</t>
  </si>
  <si>
    <t>AUU-G-02</t>
  </si>
  <si>
    <t>RLS select de profiles</t>
  </si>
  <si>
    <t>1. Intentar leer la lista completa de profiles vía cliente</t>
  </si>
  <si>
    <t>Policies `profiles_admin_select` lo impiden (solo admin)</t>
  </si>
  <si>
    <t>AUU-G-03</t>
  </si>
  <si>
    <t>RLS update de activo</t>
  </si>
  <si>
    <t>1. Intentar `update` de `profiles.activo` ajeno</t>
  </si>
  <si>
    <t>`profiles_admin_update` lo impide</t>
  </si>
  <si>
    <t>AUU-G-04</t>
  </si>
  <si>
    <t>Sin switch para admins</t>
  </si>
  <si>
    <t>Lista con otro admin</t>
  </si>
  <si>
    <t>1. Observar fila de otro Administrador</t>
  </si>
  <si>
    <t>Sin switch (`canToggle=false` para rol Administrador)</t>
  </si>
  <si>
    <t>AUU-G-05</t>
  </si>
  <si>
    <t>Sin switch para sí mismo</t>
  </si>
  <si>
    <t>1. Observar propia fila ("· tú")</t>
  </si>
  <si>
    <t>Sin switch; no puede desactivarse a sí mismo</t>
  </si>
  <si>
    <t>AUU-E-01</t>
  </si>
  <si>
    <t>⚑ Desactivar especialista con sesión activa</t>
  </si>
  <si>
    <t>Especialista logueado en 2º dispositivo</t>
  </si>
  <si>
    <t>1. Desactivar como admin 2. Navegar en el 2º dispositivo</t>
  </si>
  <si>
    <t>Guard `onDeactivated` fuerza `signOut` + redirect a `/`</t>
  </si>
  <si>
    <t>AUU-E-02</t>
  </si>
  <si>
    <t>⚑ Desactivar paciente con sesión activa</t>
  </si>
  <si>
    <t>Paciente logueado en 2º dispositivo</t>
  </si>
  <si>
    <t>1. Desactivar 2. Navegar</t>
  </si>
  <si>
    <t>Paciente queda restringido a rutas permitidas (`/complete-profile`, etc.)</t>
  </si>
  <si>
    <t>AUU-E-03</t>
  </si>
  <si>
    <t>Login de desactivado</t>
  </si>
  <si>
    <t>`esp.desactivado`</t>
  </si>
  <si>
    <t>1. Login fresco</t>
  </si>
  <si>
    <t>Guard fuerza logout inmediato (especialista/admin)</t>
  </si>
  <si>
    <t>AUU-E-04</t>
  </si>
  <si>
    <t>Marca "· tú"</t>
  </si>
  <si>
    <t>Admin en la lista</t>
  </si>
  <si>
    <t>1. Buscar propia fila</t>
  </si>
  <si>
    <t>Sufijo "· tú" visible</t>
  </si>
  <si>
    <t>AUU-N-01</t>
  </si>
  <si>
    <t>Vista de error con "Reintentar"</t>
  </si>
  <si>
    <t>AUU-N-02</t>
  </si>
  <si>
    <t>Toggle rápido doble</t>
  </si>
  <si>
    <t>Usuario activo</t>
  </si>
  <si>
    <t>1. Apagar y encender rápidamente</t>
  </si>
  <si>
    <t>Sin estados inconsistentes; última acción gana y recarga</t>
  </si>
  <si>
    <t>AUU-S-01</t>
  </si>
  <si>
    <t>Confianza en policies del servidor</t>
  </si>
  <si>
    <t>1. Verificar con cuenta no-admin que el select a `profiles` falla</t>
  </si>
  <si>
    <t>El datasource no filtra por rol en cliente; la seguridad depende 100% de RLS — confirmarlo</t>
  </si>
  <si>
    <t>AUU-S-02</t>
  </si>
  <si>
    <t>Desactivar admin (laguna UI)</t>
  </si>
  <si>
    <t>Dos admins</t>
  </si>
  <si>
    <t>1. Observar si la UI impide desactivar a OTRO admin</t>
  </si>
  <si>
    <t>La regla `canToggle` excluye admins; confirmar que no hay vía alternativa</t>
  </si>
  <si>
    <t>CS-H-01</t>
  </si>
  <si>
    <t>05 Catalog Services</t>
  </si>
  <si>
    <t>Catálogo público</t>
  </si>
  <si>
    <t>1. Entrar a `/services`</t>
  </si>
  <si>
    <t>Categorías activas + servicios activos con join `categorias_servicio`; grid visible</t>
  </si>
  <si>
    <t>CS-H-02</t>
  </si>
  <si>
    <t>Filtrar por categoría</t>
  </si>
  <si>
    <t>Catálogo cargado</t>
  </si>
  <si>
    <t>1. Pulsar chip de categoría</t>
  </si>
  <si>
    <t>Solo servicios de esa categoría</t>
  </si>
  <si>
    <t>CS-H-03</t>
  </si>
  <si>
    <t>Volver a "Todos"</t>
  </si>
  <si>
    <t>Filtro activo</t>
  </si>
  <si>
    <t>1. Pulsar "Todos"</t>
  </si>
  <si>
    <t>`selectCategoria(null)` restaura todo el catálogo</t>
  </si>
  <si>
    <t>CS-H-04</t>
  </si>
  <si>
    <t>Banner verde</t>
  </si>
  <si>
    <t>`pac.activo`</t>
  </si>
  <si>
    <t>Banner APROBADA y vigente (verde)</t>
  </si>
  <si>
    <t>CS-H-05</t>
  </si>
  <si>
    <t>Reserva con pago total</t>
  </si>
  <si>
    <t>`pac.activo`, servicio seleccionado</t>
  </si>
  <si>
    <t>1. Seleccionar servicio 2. Modal "Cancelar Servicio" → "Cancelar Totalidad ($precio)" 3. Pagar</t>
  </si>
  <si>
    <t>`procesarPagoStripe(PAGO_TOTAL)` → `createServicePayment` → solicitud **PUBLICADA**; diálogo de éxito</t>
  </si>
  <si>
    <t>CS-H-06</t>
  </si>
  <si>
    <t>Reserva con depósito</t>
  </si>
  <si>
    <t>1. "Cancelar Depósito ($30)" 2. Pagar</t>
  </si>
  <si>
    <t>`procesarPagoStripe(DEPOSITO)` → solicitud **BORRADOR**; diálogo de éxito</t>
  </si>
  <si>
    <t>CS-V-01</t>
  </si>
  <si>
    <t>Selección sin sesión</t>
  </si>
  <si>
    <t>1. Seleccionar servicio</t>
  </si>
  <si>
    <t>Diálogo "Regístrate como paciente" → `/login?registro=paciente`</t>
  </si>
  <si>
    <t>CS-V-02</t>
  </si>
  <si>
    <t>Evaluación RECHAZADA</t>
  </si>
  <si>
    <t>`pac.rechazado`</t>
  </si>
  <si>
    <t>Modal bloqueado (RN-020/RN-022); no permite pagar</t>
  </si>
  <si>
    <t>CS-V-03</t>
  </si>
  <si>
    <t>Evaluación VENCIDA</t>
  </si>
  <si>
    <t>`pac.vencido`</t>
  </si>
  <si>
    <t>Modal de expiración con "Pagar $30 y Renovar" → `/complete-profile`</t>
  </si>
  <si>
    <t>CS-V-04</t>
  </si>
  <si>
    <t>Evaluación PENDIENTE</t>
  </si>
  <si>
    <t>`pac.nuevo`</t>
  </si>
  <si>
    <t>Modal "Completar Evaluación" → `/complete-profile`</t>
  </si>
  <si>
    <t>CS-V-05</t>
  </si>
  <si>
    <t>Pago cancelado</t>
  </si>
  <si>
    <t>1. Elegir pago 2. Cancelar PaymentSheet</t>
  </si>
  <si>
    <t>Flujo abortado; sin solicitud ni pago registrados</t>
  </si>
  <si>
    <t>CS-V-06</t>
  </si>
  <si>
    <t>Pago fallido</t>
  </si>
  <si>
    <t>Error de Stripe</t>
  </si>
  <si>
    <t>1. Provocar fallo</t>
  </si>
  <si>
    <t>Snackbar de fallo de pago (distinto del de registro)</t>
  </si>
  <si>
    <t>CS-V-07</t>
  </si>
  <si>
    <t>Pago OK, registro fallido</t>
  </si>
  <si>
    <t>Fallo posterior al pago</t>
  </si>
  <si>
    <t>1. Simular fallo en `createServicePayment`</t>
  </si>
  <si>
    <t>Snackbar específico de fallo de registro; verificar si queda pago huérfano</t>
  </si>
  <si>
    <t>CS-V-08</t>
  </si>
  <si>
    <t>Categoría sin servicios</t>
  </si>
  <si>
    <t>Categoría vacía</t>
  </si>
  <si>
    <t>1. Filtrar</t>
  </si>
  <si>
    <t>Grid vacío controlado</t>
  </si>
  <si>
    <t>CS-G-01</t>
  </si>
  <si>
    <t>Ruta pública</t>
  </si>
  <si>
    <t>1. `/services`</t>
  </si>
  <si>
    <t>Accesible sin autenticación</t>
  </si>
  <si>
    <t>CS-G-02</t>
  </si>
  <si>
    <t>Especialista en catálogo</t>
  </si>
  <si>
    <t>1. Entrar a `/services` 2. Intentar reservar</t>
  </si>
  <si>
    <t>Comportamiento definido: el guard no bloquea; verificar reglas RN-020 con perfil no-paciente</t>
  </si>
  <si>
    <t>CS-G-03</t>
  </si>
  <si>
    <t>RLS de lectura de catálogo</t>
  </si>
  <si>
    <t>1. Cargar servicios</t>
  </si>
  <si>
    <t>Solo servicios/categorías `activo=true` visibles</t>
  </si>
  <si>
    <t>CS-E-01</t>
  </si>
  <si>
    <t>Estados del cubit</t>
  </si>
  <si>
    <t>1. Cargar catálogo</t>
  </si>
  <si>
    <t>`CatalogLoading` → `CatalogLoaded(categorias, servicios, selectedCategoriaId)`</t>
  </si>
  <si>
    <t>CS-E-02</t>
  </si>
  <si>
    <t>Banner por estado de evaluación</t>
  </si>
  <si>
    <t>Cada cuenta de prueba</t>
  </si>
  <si>
    <t>1. Revisar banner</t>
  </si>
  <si>
    <t>APROBADA vigente → verde; VENCIDA → naranja renovar $30; otro → "evaluación requerida"</t>
  </si>
  <si>
    <t>CS-E-03</t>
  </si>
  <si>
    <t>Depósito → no publicada</t>
  </si>
  <si>
    <t>1. Verificar solicitud en BD</t>
  </si>
  <si>
    <t>Estado `BORRADOR`; NO aparece en el marketplace</t>
  </si>
  <si>
    <t>CS-E-04</t>
  </si>
  <si>
    <t>Total → publicada</t>
  </si>
  <si>
    <t>Reserva total</t>
  </si>
  <si>
    <t>Estado `PUBLICADA`; visible en el marketplace (doc 06)</t>
  </si>
  <si>
    <t>CS-N-01</t>
  </si>
  <si>
    <t>Estado `CatalogError` con Reintentar</t>
  </si>
  <si>
    <t>CS-N-02</t>
  </si>
  <si>
    <t>Sin servicios en BD</t>
  </si>
  <si>
    <t>Catálogo vacío</t>
  </si>
  <si>
    <t>Vista vacía controlada</t>
  </si>
  <si>
    <t>CS-N-03</t>
  </si>
  <si>
    <t>Grid responsive</t>
  </si>
  <si>
    <t>Distintos tamaños de ventana</t>
  </si>
  <si>
    <t>1. Redimensionar</t>
  </si>
  <si>
    <t>Columnas se adaptan sin overflow</t>
  </si>
  <si>
    <t>CS-S-01</t>
  </si>
  <si>
    <t>Face map sin tratamientoId</t>
  </si>
  <si>
    <t>Servicio facial</t>
  </si>
  <si>
    <t>1. Seleccionar servicio facial/inyectable</t>
  </si>
  <si>
    <t>**Confirmar bug**: push a `/face-map-questionnaire` siempre sin `extra` → `tratamientoId=null`; el face map queda sin vincular al servicio</t>
  </si>
  <si>
    <t>CS-S-02</t>
  </si>
  <si>
    <t>Detección facial por nombre</t>
  </si>
  <si>
    <t>Servicio con `requiere_face_map=false` pero nombre "Inyectables"</t>
  </si>
  <si>
    <t>1. Seleccionar</t>
  </si>
  <si>
    <t>La heurística por nombre/categoría lo envía a face map igualmente</t>
  </si>
  <si>
    <t>CS-S-03</t>
  </si>
  <si>
    <t>`copyWith` de categoría</t>
  </si>
  <si>
    <t>1. `selectCategoria(null)`</t>
  </si>
  <si>
    <t>Permite resetear a null (no usa `??`); comportamiento correcto</t>
  </si>
  <si>
    <t>MK-H-01</t>
  </si>
  <si>
    <t>06 Marketplace Citas</t>
  </si>
  <si>
    <t>Carga del mapa</t>
  </si>
  <si>
    <t>1. Entrar a `/specialist/map`</t>
  </si>
  <si>
    <t>Carga dashboard + `MarketplaceCubit.load`: markers de solicitudes y especialistas aprobados; tarjeta de conteo</t>
  </si>
  <si>
    <t>MK-H-02</t>
  </si>
  <si>
    <t>Marker de paciente</t>
  </si>
  <si>
    <t>Mapa cargado</t>
  </si>
  <si>
    <t>1. Tocar marker de solicitud</t>
  </si>
  <si>
    <t>Detalle del paciente</t>
  </si>
  <si>
    <t>MK-H-03</t>
  </si>
  <si>
    <t>Orden por cercanía</t>
  </si>
  <si>
    <t>Varias solicitudes</t>
  </si>
  <si>
    <t>1. "Por cercanía"</t>
  </si>
  <si>
    <t>Bottom sheet ordenado por distancia Haversine desde mi ubicación</t>
  </si>
  <si>
    <t>MK-H-04</t>
  </si>
  <si>
    <t>Aceptar solicitud</t>
  </si>
  <si>
    <t>Solicitud vigente</t>
  </si>
  <si>
    <t>1. Detalle → "Aceptar"</t>
  </si>
  <si>
    <t>RPC `aceptar_solicitud` → `aceptada`: se elimina de la lista; "¡El paciente es tuyo!"; cita creada</t>
  </si>
  <si>
    <t>MK-H-05</t>
  </si>
  <si>
    <t>Pull-to-refresh</t>
  </si>
  <si>
    <t>1. Deslizar</t>
  </si>
  <si>
    <t>Recarga solicitudes/especialistas</t>
  </si>
  <si>
    <t>MK-H-06</t>
  </si>
  <si>
    <t>Recentrar y zoom</t>
  </si>
  <si>
    <t>1. FABs de recentrar/zoom</t>
  </si>
  <si>
    <t>Centran en mi ubicación / ajustan zoom</t>
  </si>
  <si>
    <t>MK-V-01</t>
  </si>
  <si>
    <t>Acceso restringido</t>
  </si>
  <si>
    <t>`esp.revision` (no aprobado)</t>
  </si>
  <si>
    <t>`_AccesoRestringido`; sin mapa</t>
  </si>
  <si>
    <t>MK-V-02</t>
  </si>
  <si>
    <t>Solicitud expirada</t>
  </si>
  <si>
    <t>Solicitud con `fechaExpiracion` pasada</t>
  </si>
  <si>
    <t>1. "Aceptar"</t>
  </si>
  <si>
    <t>RPC devuelve `expirada`: se elimina de la lista con aviso</t>
  </si>
  <si>
    <t>MK-V-03</t>
  </si>
  <si>
    <t>Especialista no aprobado acepta</t>
  </si>
  <si>
    <t>Vía forzada (cliente manipulado)</t>
  </si>
  <si>
    <t>1. Llamar RPC sin estar aprobado</t>
  </si>
  <si>
    <t>RPC devuelve `noAprobado`: "Solo especialistas verificados y activos…"</t>
  </si>
  <si>
    <t>MK-V-04</t>
  </si>
  <si>
    <t>Solicitud ya asignada</t>
  </si>
  <si>
    <t>Solicitud aceptada por otro</t>
  </si>
  <si>
    <t>`ASIGNADA`/`NO_ENCONTRADA`: "ya fue asignado" + refresco</t>
  </si>
  <si>
    <t>MK-G-01</t>
  </si>
  <si>
    <t>Paciente a `/specialist/map`</t>
  </si>
  <si>
    <t>MK-G-02</t>
  </si>
  <si>
    <t>RPC con sesión de paciente</t>
  </si>
  <si>
    <t>1. Invocar `obtener_solicitudes_publicadas_geo`</t>
  </si>
  <si>
    <t>RLS/security definer lo impide o devuelve vacío</t>
  </si>
  <si>
    <t>MK-G-03</t>
  </si>
  <si>
    <t>Solo aprobados en el mapa</t>
  </si>
  <si>
    <t>Especialista BLOQUEADO</t>
  </si>
  <si>
    <t>1. Cargar mapa</t>
  </si>
  <si>
    <t>`fetchEspecialistasAprobados` filtra `APROBADO + activo + disponible + en_linea + ultima_conexion&lt;180s`; el bloqueado no aparece</t>
  </si>
  <si>
    <t>MK-E-01</t>
  </si>
  <si>
    <t>Ubicación aproximada</t>
  </si>
  <si>
    <t>Solicitud publicada</t>
  </si>
  <si>
    <t>1. Verificar coords del marker</t>
  </si>
  <si>
    <t>RPC `obtener_solicitudes_publicadas_geo` devuelve ubicación con 3 decimales (RN-018, privacidad)</t>
  </si>
  <si>
    <t>MK-E-02</t>
  </si>
  <si>
    <t>Feedback y `clearFeedback`</t>
  </si>
  <si>
    <t>Aceptación</t>
  </si>
  <si>
    <t>1. Observar snackbar</t>
  </si>
  <si>
    <t>Mensaje según resultado; se limpia al cambiar de estado</t>
  </si>
  <si>
    <t>MK-E-03</t>
  </si>
  <si>
    <t>`aceptandoId` durante la llamada</t>
  </si>
  <si>
    <t>Aceptación lenta</t>
  </si>
  <si>
    <t>1. Observar UI mientras corre el RPC</t>
  </si>
  <si>
    <t>Indicador de carga en el botón; doble tap no duplica la llamada</t>
  </si>
  <si>
    <t>MK-E-04</t>
  </si>
  <si>
    <t>Solicitudes solo PUBLICADAS</t>
  </si>
  <si>
    <t>Solicitud BORRADOR (solo depósito)</t>
  </si>
  <si>
    <t>La BORRADOR no aparece</t>
  </si>
  <si>
    <t>MK-N-01</t>
  </si>
  <si>
    <t>1. Entrar al mapa</t>
  </si>
  <si>
    <t>Estado `MarketplaceError` con mensaje</t>
  </si>
  <si>
    <t>MK-N-02</t>
  </si>
  <si>
    <t>Especialista sin ubicación</t>
  </si>
  <si>
    <t>1. Cargar mapa 2. Pulsar recentrar</t>
  </si>
  <si>
    <t>Carga sin crash; recentrar no hace nada (sin punto propio)</t>
  </si>
  <si>
    <t>MK-N-03</t>
  </si>
  <si>
    <t>Tiles OSM sin red</t>
  </si>
  <si>
    <t>1. Ver mapa</t>
  </si>
  <si>
    <t>Mapa sin tiles pero app estable</t>
  </si>
  <si>
    <t>MK-N-04</t>
  </si>
  <si>
    <t>Una de las 3 consultas falla</t>
  </si>
  <si>
    <t>Fallo parcial</t>
  </si>
  <si>
    <t>1. Provocar error en una consulta</t>
  </si>
  <si>
    <t>El primer error gana → estado de error; sin estado parcial corrupto</t>
  </si>
  <si>
    <t>MK-S-01</t>
  </si>
  <si>
    <t>⚑ Concurrencia de aceptación</t>
  </si>
  <si>
    <t>2 especialistas ante la misma solicitud</t>
  </si>
  <si>
    <t>1. Ambos pulsan "Aceptar" casi a la vez</t>
  </si>
  <si>
    <t>"Primer aviso gana": uno recibe `aceptada`, el otro `ASIGNADA`; sin doble cita</t>
  </si>
  <si>
    <t>✅</t>
  </si>
  <si>
    <t>E2E ítems 10-11 (claim atómico)</t>
  </si>
  <si>
    <t>MK-S-02</t>
  </si>
  <si>
    <t>Fold que ignora failures</t>
  </si>
  <si>
    <t>Fallo de red en `aceptar`</t>
  </si>
  <si>
    <t>1. Aceptar sin red</t>
  </si>
  <si>
    <t>**Confirmar bug**: `res.fold((f) =&gt; null, …)` no maneja el error; verificar si la UI queda sin feedback o bloqueada</t>
  </si>
  <si>
    <t>**Corregido 2026-08-21**: `_refrescar` conserva el mapa y avisa "No se pudo actualizar el mapa: …"; test `marketplace_cubit_test` (MK-S-02)</t>
  </si>
  <si>
    <t>MK-S-03</t>
  </si>
  <si>
    <t>Getter `expirada` sin uso</t>
  </si>
  <si>
    <t>Solicitud expirada en lista</t>
  </si>
  <si>
    <t>1. Observar si la UI marca expiradas antes del RPC</t>
  </si>
  <si>
    <t>El getter de la entidad no se usa; la expiración solo la decide el RPC al aceptar</t>
  </si>
  <si>
    <t>⬜</t>
  </si>
  <si>
    <t>Pendiente de prueba específica</t>
  </si>
  <si>
    <t>MK-M-01</t>
  </si>
  <si>
    <t>Solicitud multi-servicio</t>
  </si>
  <si>
    <t>Solicitud con `solicitud_detalles` PUBLICADA</t>
  </si>
  <si>
    <t>1. Ver detalle del paciente en el mapa</t>
  </si>
  <si>
    <t>Lista de servicios con cantidad y subtotal; total agregado</t>
  </si>
  <si>
    <t>E2E ítem 1</t>
  </si>
  <si>
    <t>MK-M-02</t>
  </si>
  <si>
    <t>Preferencia de fecha</t>
  </si>
  <si>
    <t>Solicitud con `fecha_programada`</t>
  </si>
  <si>
    <t>1. Ver detalle</t>
  </si>
  <si>
    <t>Muestra la fecha/hora preferida por el paciente</t>
  </si>
  <si>
    <t>E2E ítem 3</t>
  </si>
  <si>
    <t>MK-M-03</t>
  </si>
  <si>
    <t>Geofencing por radio</t>
  </si>
  <si>
    <t>2 solicitudes, una fuera del radio configurado</t>
  </si>
  <si>
    <t>1. Cargar el mapa</t>
  </si>
  <si>
    <t>Solo aparece la solicitud dentro del radio del especialista</t>
  </si>
  <si>
    <t>E2E ítem 7 (smoke2: solo especialistas del radio)</t>
  </si>
  <si>
    <t>MK-M-04</t>
  </si>
  <si>
    <t>Radio override por solicitud</t>
  </si>
  <si>
    <t>Solicitud con `radio_busqueda` propio</t>
  </si>
  <si>
    <t>Se usa el radio de la solicitud si está definido</t>
  </si>
  <si>
    <t>MK-M-05</t>
  </si>
  <si>
    <t>Notificación a otros</t>
  </si>
  <si>
    <t>2 especialistas en el radio</t>
  </si>
  <si>
    <t>1. Uno acepta la solicitud</t>
  </si>
  <si>
    <t>El otro recibe notificación in-app `SOLICITUD_ASIGNADA`</t>
  </si>
  <si>
    <t>E2E ítem 11 (smoke2: 2 usuarios)</t>
  </si>
  <si>
    <t>MK-M-06</t>
  </si>
  <si>
    <t>Dirección exacta revelada</t>
  </si>
  <si>
    <t>Cita asignada</t>
  </si>
  <si>
    <t>1. Entrar a Mis Citas → detalle</t>
  </si>
  <si>
    <t>Se revela la dirección exacta (RLS `solicitud_especialista_asignado_select`)</t>
  </si>
  <si>
    <t>E2E ítem 12</t>
  </si>
  <si>
    <t>MK-M-07</t>
  </si>
  <si>
    <t>Historial SOLICITUD</t>
  </si>
  <si>
    <t>Solicitud creada/publicada/aceptada</t>
  </si>
  <si>
    <t>1. Consultar `historial_estados` (tipo_entidad=SOLICITUD)</t>
  </si>
  <si>
    <t>Registra creaciones y cambios de estado</t>
  </si>
  <si>
    <t>E2E ítem 14 (sin duplicados post-00500)</t>
  </si>
  <si>
    <t>PC-H-01</t>
  </si>
  <si>
    <t>07 Patients Compliance</t>
  </si>
  <si>
    <t>Cuestionario real cargado</t>
  </si>
  <si>
    <t>Migración aplicada</t>
  </si>
  <si>
    <t>1. Entrar al cuestionario desde complete-profile</t>
  </si>
  <si>
    <t>Se cargan las 10 preguntas del seed (SI_NO, TEXTO, LISTA, NUMERO, FECHA, MULTIPLE) con su versión; sin preguntas hardcodeadas</t>
  </si>
  <si>
    <t>PC-H-02</t>
  </si>
  <si>
    <t>Enviar respuestas</t>
  </si>
  <si>
    <t>Formulario completo</t>
  </si>
  <si>
    <t>1. Responder todas las obligatorias 2. "Enviar y Evaluar"</t>
  </si>
  <si>
    <t>RPC guarda `evaluaciones_salud` + `respuestas_salud` (con snapshot `pregunta_texto`); resultado APTO si no hay riesgos</t>
  </si>
  <si>
    <t>PC-H-03</t>
  </si>
  <si>
    <t>Dictamen con riesgos</t>
  </si>
  <si>
    <t>Respuesta dispara sentinela (ej. alergia = Sí)</t>
  </si>
  <si>
    <t>1. Responder Sí en alergia 2. Enviar</t>
  </si>
  <si>
    <t>Modal "Revisión requerida" con la etiqueta de riesgo; NO se abre Qualify</t>
  </si>
  <si>
    <t>PC-H-04</t>
  </si>
  <si>
    <t>Dictamen NO APTO</t>
  </si>
  <si>
    <t>Respuesta dispara sentinela crítico (embarazo = Sí)</t>
  </si>
  <si>
    <t>1. Responder Sí en embarazo 2. Enviar</t>
  </si>
  <si>
    <t>Modal "NO APTO" con riesgo crítico; NO se registra validación</t>
  </si>
  <si>
    <t>PC-H-05</t>
  </si>
  <si>
    <t>Qualify simulado con fechas reales</t>
  </si>
  <si>
    <t>Dictamen APTO</t>
  </si>
  <si>
    <t>1. Elegir Telemedicina/Medicina Interna 2. Esperar ~3 s</t>
  </si>
  <si>
    <t>`registrar_validacion_telemedicina`: estado APROBADA, `fecha_validacion`=hoy, `fecha_vencimiento`=+365 días; modal muestra ambas fechas</t>
  </si>
  <si>
    <t>PC-H-06</t>
  </si>
  <si>
    <t>Versión conservada</t>
  </si>
  <si>
    <t>Evaluación previa existente</t>
  </si>
  <si>
    <t>1. Re-evaluar tras activar v2</t>
  </si>
  <si>
    <t>La evaluación nueva usa la versión activa; las respuestas guardan el texto de la pregunta en el momento</t>
  </si>
  <si>
    <t>PC-H-07</t>
  </si>
  <si>
    <t>Estado de salud</t>
  </si>
  <si>
    <t>Sesión paciente</t>
  </si>
  <si>
    <t>1. Abrir `/estado-salud` desde el catálogo (icono corazón)</t>
  </si>
  <si>
    <t>Muestra cuota, cuestionario, resultado, validación, vencimiento y siguiente paso</t>
  </si>
  <si>
    <t>PC-V-01</t>
  </si>
  <si>
    <t>Obligatorias sin responder</t>
  </si>
  <si>
    <t>Formulario</t>
  </si>
  <si>
    <t>1. Dejar una obligatoria vacía 2. Enviar</t>
  </si>
  <si>
    <t>Error de validación por campo (chip/input) y snackbar naranja</t>
  </si>
  <si>
    <t>PC-V-02</t>
  </si>
  <si>
    <t>Número inválido</t>
  </si>
  <si>
    <t>Pregunta NUMERO</t>
  </si>
  <si>
    <t>1. Escribir "abc" 2. Enviar</t>
  </si>
  <si>
    <t>Validator rechaza "Ingresa un valor numérico válido"</t>
  </si>
  <si>
    <t>PC-V-03</t>
  </si>
  <si>
    <t>Sin cuestionario activo</t>
  </si>
  <si>
    <t>Config sin activa</t>
  </si>
  <si>
    <t>1. Desactivar todas las versiones 2. Abrir cuestionario</t>
  </si>
  <si>
    <t>Pantalla de error con "Reintentar"</t>
  </si>
  <si>
    <t>PC-V-04</t>
  </si>
  <si>
    <t>Validación vencida (gate RN-020)</t>
  </si>
  <si>
    <t>Validación &gt;365 días</t>
  </si>
  <si>
    <t>1. Intentar reservar servicio con `requiere_telemedicina`</t>
  </si>
  <si>
    <t>`ValidarAccesoRN020` devuelve VENCIDA → modal de expiración</t>
  </si>
  <si>
    <t>PC-V-05</t>
  </si>
  <si>
    <t>Validación rechazada</t>
  </si>
  <si>
    <t>`validaciones_telemedicina` RECHAZADA</t>
  </si>
  <si>
    <t>1. Intentar reservar</t>
  </si>
  <si>
    <t>Modal "Reserva Bloqueada (RN-020/RN-022)"</t>
  </si>
  <si>
    <t>PC-V-06</t>
  </si>
  <si>
    <t>Trigger RN-020 a nivel BD</t>
  </si>
  <si>
    <t>`enforce_rn020='true'`</t>
  </si>
  <si>
    <t>1. Insertar solicitud vía SQL para servicio con `requiere_telemedicina` sin validación vigente</t>
  </si>
  <si>
    <t>INSERT bloqueado con error RN-020</t>
  </si>
  <si>
    <t>PC-G-01</t>
  </si>
  <si>
    <t>Paciente solo su data</t>
  </si>
  <si>
    <t>Sesión paciente1</t>
  </si>
  <si>
    <t>1. Consultar `evaluaciones_salud`/`validaciones_telemedicina` de otro paciente vía SQL</t>
  </si>
  <si>
    <t>RLS lo impide (SELECT solo propias)</t>
  </si>
  <si>
    <t>PC-G-02</t>
  </si>
  <si>
    <t>Paciente no edita evaluaciones</t>
  </si>
  <si>
    <t>1. UPDATE/DELETE a `evaluaciones_salud` propia</t>
  </si>
  <si>
    <t>RLS lo impide (solo INSERT/SELECT)</t>
  </si>
  <si>
    <t>PC-G-03</t>
  </si>
  <si>
    <t>Catálogo legible</t>
  </si>
  <si>
    <t>Cualquier sesión</t>
  </si>
  <si>
    <t>1. SELECT a `cuestionarios`/`preguntas`</t>
  </si>
  <si>
    <t>Autenticados pueden leer catálogo; solo admin edita</t>
  </si>
  <si>
    <t>PC-G-04</t>
  </si>
  <si>
    <t>RPC protegida</t>
  </si>
  <si>
    <t>Sesión paciente2</t>
  </si>
  <si>
    <t>1. Ejecutar `guardar_respuestas_evaluacion` con `p_cuestionario_id` ajeno a otro paciente</t>
  </si>
  <si>
    <t>RPC solo registra para el usuario autenticado (SECURITY DEFINER + verificación)</t>
  </si>
  <si>
    <t>PC-G-05</t>
  </si>
  <si>
    <t>Admin cuestionario</t>
  </si>
  <si>
    <t>Sesión admin</t>
  </si>
  <si>
    <t>1. `/admin/cuestionario` 2. Editar pregunta, crear v2, activar v2</t>
  </si>
  <si>
    <t>Acciones permitidas solo a Administrador</t>
  </si>
  <si>
    <t>PC-A-01</t>
  </si>
  <si>
    <t>Ver histórico</t>
  </si>
  <si>
    <t>2 versiones sembradas</t>
  </si>
  <si>
    <t>1. Abrir `/admin/cuestionario`</t>
  </si>
  <si>
    <t>Lista v1 (ACTIVA) y v2 (INACTIVA) con conteo de preguntas</t>
  </si>
  <si>
    <t>PC-A-02</t>
  </si>
  <si>
    <t>Editar pregunta</t>
  </si>
  <si>
    <t>Versión seleccionada</t>
  </si>
  <si>
    <t>1. Lapicito de una pregunta 2. Cambiar texto/opciones/riesgo 3. Guardar</t>
  </si>
  <si>
    <t>Pregunta actualizada; se refresca la lista</t>
  </si>
  <si>
    <t>PC-A-03</t>
  </si>
  <si>
    <t>Crear nueva versión</t>
  </si>
  <si>
    <t>1. "Crear nueva versión"</t>
  </si>
  <si>
    <t>Nueva fila `version+1`, INACTIVA, copia las preguntas</t>
  </si>
  <si>
    <t>PC-A-04</t>
  </si>
  <si>
    <t>Activar versión</t>
  </si>
  <si>
    <t>Versión inactiva creada</t>
  </si>
  <si>
    <t>1. "Activar esta versión"</t>
  </si>
  <si>
    <t>Se activa y se desactivan las demás del mismo nombre</t>
  </si>
  <si>
    <t>PC-E-01</t>
  </si>
  <si>
    <t>Complete-profile con datos clínicos</t>
  </si>
  <si>
    <t>Perfil previo</t>
  </si>
  <si>
    <t>1. Guardar fecha_nacimiento + género 2. Reabrir</t>
  </si>
  <si>
    <t>Se precargan los valores; `pacientes.fecha_nacimiento/genero` persistidos</t>
  </si>
  <si>
    <t>PC-E-02</t>
  </si>
  <si>
    <t>Re-evaluación tras vencimiento</t>
  </si>
  <si>
    <t>Validación VENCIDA</t>
  </si>
  <si>
    <t>1. Pago $30 + nuevo cuestionario + Qualify</t>
  </si>
  <si>
    <t>Nueva validación con fechas renovadas; `EstadoSalud.habilitado=true`</t>
  </si>
  <si>
    <t>PC-E-03</t>
  </si>
  <si>
    <t>Estado de salud refleja gate</t>
  </si>
  <si>
    <t>Vencida</t>
  </si>
  <si>
    <t>1. Abrir `/estado-salud`</t>
  </si>
  <si>
    <t>Banner "Cuenta incompleta"; siguiente paso sugiere renovar</t>
  </si>
  <si>
    <t>PC-N-01</t>
  </si>
  <si>
    <t>Envío sin red</t>
  </si>
  <si>
    <t>1. Enviar cuestionario</t>
  </si>
  <si>
    <t>`PatientHealthError` con mensaje; sin registros parciales</t>
  </si>
  <si>
    <t>PC-N-02</t>
  </si>
  <si>
    <t>Falla de la RPC</t>
  </si>
  <si>
    <t>Servicio caído</t>
  </si>
  <si>
    <t>1. Enviar respuestas</t>
  </si>
  <si>
    <t>Error controlado; botón "Reintentar"</t>
  </si>
  <si>
    <t>PC-N-03</t>
  </si>
  <si>
    <t>Sin preguntas configuradas</t>
  </si>
  <si>
    <t>Cuestionario vacío</t>
  </si>
  <si>
    <t>1. Abrir cuestionario</t>
  </si>
  <si>
    <t>Formulario vacío con botón enviar deshabilitado (0/0)</t>
  </si>
  <si>
    <t>PC-S-01</t>
  </si>
  <si>
    <t>Qualify simulado</t>
  </si>
  <si>
    <t>PC-S-02</t>
  </si>
  <si>
    <t>Legacy `SupabaseService`</t>
  </si>
  <si>
    <t>PC-S-03</t>
  </si>
  <si>
    <t>Edición de preguntas del catálogo</t>
  </si>
  <si>
    <t>PS-H-01</t>
  </si>
  <si>
    <t>08 Payments Stripe</t>
  </si>
  <si>
    <t>Cuota inicial $30</t>
  </si>
  <si>
    <t>Paciente en complete-profile</t>
  </si>
  <si>
    <t>1. Pagar cuota</t>
  </si>
  <si>
    <t>`registerInitialPayment`: `profiles.payment_completed=true` + `pacientes.activo=true`; referencia guardada</t>
  </si>
  <si>
    <t>PS-H-02</t>
  </si>
  <si>
    <t>Depósito de servicio</t>
  </si>
  <si>
    <t>Servicio seleccionado</t>
  </si>
  <si>
    <t>1. Pagar depósito</t>
  </si>
  <si>
    <t>`createServicePayment`: solicitud BORRADOR + `pagos` (monto_total, depósito, saldo, PARCIAL) + `transacciones` (DEPÓSITO, APROBADO)</t>
  </si>
  <si>
    <t>PS-H-03</t>
  </si>
  <si>
    <t>Pago total de servicio</t>
  </si>
  <si>
    <t>1. Pagar totalidad</t>
  </si>
  <si>
    <t>Solicitud **PUBLICADA** + pago PAGADO + transacción PAGO_TOTAL</t>
  </si>
  <si>
    <t>PS-H-04</t>
  </si>
  <si>
    <t>Cobro de saldo</t>
  </si>
  <si>
    <t>Cita con `saldo_pendiente&gt;0`</t>
  </si>
  <si>
    <t>1. Finalizar tratamiento → pagar saldo</t>
  </si>
  <si>
    <t>`registrarPagoSaldo`: `pagos`→PAGADO, saldo 0 + transacción SALDO ligada a la cita</t>
  </si>
  <si>
    <t>PS-H-05</t>
  </si>
  <si>
    <t>Consultar pago</t>
  </si>
  <si>
    <t>Solicitud con pago</t>
  </si>
  <si>
    <t>1. `consultarPago(solicitudId)`</t>
  </si>
  <si>
    <t>Devuelve el pago con saldo correcto</t>
  </si>
  <si>
    <t>PS-V-01</t>
  </si>
  <si>
    <t>PaymentSheet cancelado</t>
  </si>
  <si>
    <t>Pago en curso</t>
  </si>
  <si>
    <t>1. Cancelar el sheet</t>
  </si>
  <si>
    <t>`StripeException` → `null`; el flujo consumidor aborta sin registros</t>
  </si>
  <si>
    <t>PS-V-02</t>
  </si>
  <si>
    <t>Intent fallido</t>
  </si>
  <si>
    <t>Edge function caída</t>
  </si>
  <si>
    <t>1. Iniciar pago</t>
  </si>
  <si>
    <t>`crearIntent` falla → `PaymentsError`; sin PaymentSheet ni registros</t>
  </si>
  <si>
    <t>PS-V-03</t>
  </si>
  <si>
    <t>Saldo ya en cero</t>
  </si>
  <si>
    <t>Pago PAGADO</t>
  </si>
  <si>
    <t>1. `registrarPagoSaldo` de nuevo</t>
  </si>
  <si>
    <t>Devuelve `false` (idempotencia); no crea segunda transacción</t>
  </si>
  <si>
    <t>PS-V-04</t>
  </si>
  <si>
    <t>`consultarPago` inexistente</t>
  </si>
  <si>
    <t>Solicitud sin pago</t>
  </si>
  <si>
    <t>1. Consultar</t>
  </si>
  <si>
    <t>Resultado vacío controlado; sin crash</t>
  </si>
  <si>
    <t>PS-V-05</t>
  </si>
  <si>
    <t>Doble cobro de saldo</t>
  </si>
  <si>
    <t>Diálogo de finalización</t>
  </si>
  <si>
    <t>1. Pagar saldo 2. Intentar finalizar de nuevo</t>
  </si>
  <si>
    <t>Segundo intento detecta saldo 0 y finaliza sin cobrar</t>
  </si>
  <si>
    <t>PS-G-01</t>
  </si>
  <si>
    <t>Especialista no paga servicios</t>
  </si>
  <si>
    <t>1. Intentar flujo de pago de servicio</t>
  </si>
  <si>
    <t>Las escrituras de solicitud/pago están ligadas a paciente; verificar RLS</t>
  </si>
  <si>
    <t>PS-G-02</t>
  </si>
  <si>
    <t>RLS de pagos</t>
  </si>
  <si>
    <t>Paciente A</t>
  </si>
  <si>
    <t>1. Intentar leer `pagos` del paciente B</t>
  </si>
  <si>
    <t>RLS lo impide</t>
  </si>
  <si>
    <t>PS-G-03</t>
  </si>
  <si>
    <t>Edge function autenticada</t>
  </si>
  <si>
    <t>1. Llamar `create-payment-intent`</t>
  </si>
  <si>
    <t>`_shared/auth.ts` rechaza sin token</t>
  </si>
  <si>
    <t>PS-E-01</t>
  </si>
  <si>
    <t>Secuencia del cubit</t>
  </si>
  <si>
    <t>Pago válido</t>
  </si>
  <si>
    <t>1. `crearIntent`</t>
  </si>
  <si>
    <t>`PaymentsLoading` → `PaymentsIntentReady(intent)`</t>
  </si>
  <si>
    <t>PS-E-02</t>
  </si>
  <si>
    <t>Depósito no publica</t>
  </si>
  <si>
    <t>Solicitud con solo depósito</t>
  </si>
  <si>
    <t>1. Verificar estado</t>
  </si>
  <si>
    <t>BORRADOR; invisible en marketplace hasta pagar totalidad</t>
  </si>
  <si>
    <t>PS-E-03</t>
  </si>
  <si>
    <t>Completar pago parcial</t>
  </si>
  <si>
    <t>Solicitud BORRADOR</t>
  </si>
  <si>
    <t>1. Pagar el resto</t>
  </si>
  <si>
    <t>¿Existe flujo para pasar BORRADOR→PUBLICADA pagando el saldo? Verificar (laguna posible)</t>
  </si>
  <si>
    <t>PS-E-04</t>
  </si>
  <si>
    <t>`registerInitialPayment` no activa profile</t>
  </si>
  <si>
    <t>Paciente recién pagado</t>
  </si>
  <si>
    <t>1. Verificar `profiles.activo`</t>
  </si>
  <si>
    <t>Sigue `false` hasta `saveQualifyTestValidation`; verificar guard entre pago y cuestionario</t>
  </si>
  <si>
    <t>PS-N-01</t>
  </si>
  <si>
    <t>Pago sin red tras intent</t>
  </si>
  <si>
    <t>Intent creado, luego modo avión</t>
  </si>
  <si>
    <t>1. Presentar sheet</t>
  </si>
  <si>
    <t>Fallo controlado; sin registros</t>
  </si>
  <si>
    <t>PS-N-02</t>
  </si>
  <si>
    <t>Registro fallido tras pago OK</t>
  </si>
  <si>
    <t>Stripe OK, BD caída</t>
  </si>
  <si>
    <t>1. Provocar fallo en `createServicePayment`</t>
  </si>
  <si>
    <t>**Crítico**: dinero cobrado sin registro; verificar detección/reintento</t>
  </si>
  <si>
    <t>PS-N-03</t>
  </si>
  <si>
    <t>Depósito desde configuración</t>
  </si>
  <si>
    <t>`deposito_reserva` ausente</t>
  </si>
  <si>
    <t>Usa default 30</t>
  </si>
  <si>
    <t>PS-S-01</t>
  </si>
  <si>
    <t>[SIM] Todo funciona sin pasarela</t>
  </si>
  <si>
    <t>Sin key / web</t>
  </si>
  <si>
    <t>1. Recorrer todos los flujos de pago</t>
  </si>
  <si>
    <t>Referencias `STRIPE_SIM_&lt;ts&gt;`; ningún flujo falla por pago — documentar que el modo demo nunca ejercita errores reales</t>
  </si>
  <si>
    <t>PS-S-02</t>
  </si>
  <si>
    <t>[REAL] Cancelación no deja huérfanos</t>
  </si>
  <si>
    <t>Con key real</t>
  </si>
  <si>
    <t>1. Cancelar PaymentSheet en cada consumidor (cuota, reserva, saldo)</t>
  </si>
  <si>
    <t>Ningún consumidor registra solicitud/pago tras cancelación</t>
  </si>
  <si>
    <t>PS-S-03</t>
  </si>
  <si>
    <t>PaymentsCubit como factory</t>
  </si>
  <si>
    <t>1. Dos pagos consecutivos</t>
  </si>
  <si>
    <t>Cada `sl&lt;PaymentsCubit&gt;()` crea instancia nueva; sin estado residual entre pagos</t>
  </si>
  <si>
    <t>TE-H-01</t>
  </si>
  <si>
    <t>09 Treatment Execution</t>
  </si>
  <si>
    <t>Lista de citas</t>
  </si>
  <si>
    <t>Citas ejecutables</t>
  </si>
  <si>
    <t>1. Entrar a `/specialist/mis-citas`</t>
  </si>
  <si>
    <t>Lista PROGRAMADA/EN_CAMINO/LLEGO/EN_PROCESO ordenada por `fecha_aceptacion`, con chip de estado, paciente, servicio, ciudad</t>
  </si>
  <si>
    <t>TE-H-02</t>
  </si>
  <si>
    <t>Desplazamiento</t>
  </si>
  <si>
    <t>Cita PROGRAMADA</t>
  </si>
  <si>
    <t>1. Abrir detalle 2. "Comenzar desplazamiento"</t>
  </si>
  <si>
    <t>Estado EN_CAMINO + registro en `historial_estados`</t>
  </si>
  <si>
    <t>TE-H-03</t>
  </si>
  <si>
    <t>Llegada</t>
  </si>
  <si>
    <t>Cita EN_CAMINO</t>
  </si>
  <si>
    <t>1. "Llegué al domicilio"</t>
  </si>
  <si>
    <t>Estado LLEGO</t>
  </si>
  <si>
    <t>TE-H-04</t>
  </si>
  <si>
    <t>Inicio de servicio</t>
  </si>
  <si>
    <t>Cita LLEGO</t>
  </si>
  <si>
    <t>1. "Iniciar servicio"</t>
  </si>
  <si>
    <t>Estado EN_PROCESO + `fecha_inicio`; `iniciarTratamiento` crea/recupera tratamiento INICIADO</t>
  </si>
  <si>
    <t>TE-H-05</t>
  </si>
  <si>
    <t>Evaluación inicial</t>
  </si>
  <si>
    <t>Cita EN_PROCESO</t>
  </si>
  <si>
    <t>1. Editar evaluación 2. Guardar</t>
  </si>
  <si>
    <t>`guardarEvaluacion` persiste</t>
  </si>
  <si>
    <t>TE-H-06</t>
  </si>
  <si>
    <t>Agregar insumo</t>
  </si>
  <si>
    <t>1. Diálogo: nombre, fabricante, lote, cantidad, unidad 2. Guardar</t>
  </si>
  <si>
    <t>`agregarProducto` crea fila (cantidad default 1)</t>
  </si>
  <si>
    <t>TE-H-07</t>
  </si>
  <si>
    <t>Eliminar insumo</t>
  </si>
  <si>
    <t>Insumo agregado</t>
  </si>
  <si>
    <t>1. Eliminar</t>
  </si>
  <si>
    <t>`eliminarProducto` borra</t>
  </si>
  <si>
    <t>TE-H-08</t>
  </si>
  <si>
    <t>Consentimiento firmado</t>
  </si>
  <si>
    <t>1. Sección firma → dibujar → confirmar</t>
  </si>
  <si>
    <t>PNG en bucket `firmas-consentimiento`; fila en `consentimientos_tratamiento` (tipo TRATAMIENTO_ESTETICO)</t>
  </si>
  <si>
    <t>TE-H-09</t>
  </si>
  <si>
    <t>Finalización con saldo cobrado</t>
  </si>
  <si>
    <t>Cita con saldo pendiente</t>
  </si>
  <si>
    <t>1. "Finalizar tratamiento" 2. Observaciones 3. "Cobrar y Finalizar" 4. Pagar</t>
  </si>
  <si>
    <t>Pago de saldo + `finalizar`: tratamiento COMPLETADO, cita FINALIZADA, `fecha_finalizacion`, historial tipo CITA; pop automático</t>
  </si>
  <si>
    <t>TE-H-10</t>
  </si>
  <si>
    <t>Finalización sin saldo</t>
  </si>
  <si>
    <t>Cita pagada totalmente</t>
  </si>
  <si>
    <t>1. "Finalizar tratamiento" 2. Confirmar</t>
  </si>
  <si>
    <t>Finaliza directo sin diálogo de cobro</t>
  </si>
  <si>
    <t>TE-V-01</t>
  </si>
  <si>
    <t>Insumo sin nombre</t>
  </si>
  <si>
    <t>Diálogo de producto</t>
  </si>
  <si>
    <t>1. Nombre vacío 2. Guardar</t>
  </si>
  <si>
    <t>Validator bloquea</t>
  </si>
  <si>
    <t>TE-V-02</t>
  </si>
  <si>
    <t>Pantalla de firma</t>
  </si>
  <si>
    <t>1. Confirmar sin dibujar</t>
  </si>
  <si>
    <t>Validación impide guardar</t>
  </si>
  <si>
    <t>TE-V-03</t>
  </si>
  <si>
    <t>Pago de saldo cancelado</t>
  </si>
  <si>
    <t>Diálogo de cobro</t>
  </si>
  <si>
    <t>1. Cancelar PaymentSheet</t>
  </si>
  <si>
    <t>**No se finaliza la cita**; la cita sigue EN_PROCESO</t>
  </si>
  <si>
    <t>TE-V-04</t>
  </si>
  <si>
    <t>Pago de saldo fallido</t>
  </si>
  <si>
    <t>Fallo Stripe</t>
  </si>
  <si>
    <t>Cita sin finalizar; error informado</t>
  </si>
  <si>
    <t>TE-V-05</t>
  </si>
  <si>
    <t>Especialista sin citas</t>
  </si>
  <si>
    <t>1. Entrar a mis-citas</t>
  </si>
  <si>
    <t>Vista vacía con icono</t>
  </si>
  <si>
    <t>TE-G-01</t>
  </si>
  <si>
    <t>Paciente a `/specialist/mis-citas`</t>
  </si>
  <si>
    <t>TE-G-02</t>
  </si>
  <si>
    <t>Especialista A ve cita de B</t>
  </si>
  <si>
    <t>Cita ajena</t>
  </si>
  <si>
    <t>1. Deep link con id de otro especialista</t>
  </si>
  <si>
    <t>RLS impide leer/modificar la cita ajena</t>
  </si>
  <si>
    <t>TE-G-03</t>
  </si>
  <si>
    <t>`historial_estados` con usuario</t>
  </si>
  <si>
    <t>Cualquier transición</t>
  </si>
  <si>
    <t>1. Revisar BD</t>
  </si>
  <si>
    <t>Cada cambio inserta historial con `usuario_id` del autenticado</t>
  </si>
  <si>
    <t>TE-E-01</t>
  </si>
  <si>
    <t>Orden correcto completo</t>
  </si>
  <si>
    <t>1. Recorrer EN_CAMINO→LLEGO→EN_PROCESO→FINALIZADA</t>
  </si>
  <si>
    <t>Cada transición persiste y actualiza UI</t>
  </si>
  <si>
    <t>TE-E-02</t>
  </si>
  <si>
    <t>Transición inválida</t>
  </si>
  <si>
    <t>1. Forzar salto a EN_PROCESO (cliente manipulado)</t>
  </si>
  <si>
    <t>El cliente NO valida: verificar respuesta del servidor (¿rechaza o acepta?)</t>
  </si>
  <si>
    <t>TE-E-03</t>
  </si>
  <si>
    <t>Cita CANCELADA</t>
  </si>
  <si>
    <t>Cita cancelada</t>
  </si>
  <si>
    <t>1. Abrir detalle</t>
  </si>
  <si>
    <t>"Cita sin ejecutar", solo lectura</t>
  </si>
  <si>
    <t>TE-E-04</t>
  </si>
  <si>
    <t>Cita NO_COMPLETADA</t>
  </si>
  <si>
    <t>Cita no completada</t>
  </si>
  <si>
    <t>Solo lectura</t>
  </si>
  <si>
    <t>TE-E-05</t>
  </si>
  <si>
    <t>Pop al finalizar</t>
  </si>
  <si>
    <t>Finalización exitosa</t>
  </si>
  <si>
    <t>1. Observar navegación</t>
  </si>
  <si>
    <t>`listenWhen` específico dispara pop al llegar a FINALIZADA</t>
  </si>
  <si>
    <t>TE-E-06</t>
  </si>
  <si>
    <t>`iniciarTratamiento` idempotente</t>
  </si>
  <si>
    <t>Tratamiento ya INICIADO</t>
  </si>
  <si>
    <t>1. Reabrir detalle y volver a iniciar</t>
  </si>
  <si>
    <t>Recupera el tratamiento existente; no duplica</t>
  </si>
  <si>
    <t>TE-N-01</t>
  </si>
  <si>
    <t>Estado `Error(message)` con mensaje</t>
  </si>
  <si>
    <t>TE-N-02</t>
  </si>
  <si>
    <t>Transición sin red</t>
  </si>
  <si>
    <t>1. Avanzar estado</t>
  </si>
  <si>
    <t>Verificar feedback al usuario (ver sospechoso TE-S-01)</t>
  </si>
  <si>
    <t>TE-N-03</t>
  </si>
  <si>
    <t>Subida de firma sin red</t>
  </si>
  <si>
    <t>1. Firmar</t>
  </si>
  <si>
    <t>Snackbar de error; sin fila huérfana</t>
  </si>
  <si>
    <t>TE-N-04</t>
  </si>
  <si>
    <t>Joins incompletos</t>
  </si>
  <si>
    <t>Cita sin dirección del paciente</t>
  </si>
  <si>
    <t>Nulls manejados; sin crash</t>
  </si>
  <si>
    <t>TE-S-01</t>
  </si>
  <si>
    <t>Navegación rota al detalle</t>
  </si>
  <si>
    <t>Lista con citas</t>
  </si>
  <si>
    <t>1. Tocar cualquier cita</t>
  </si>
  <si>
    <t>**RESUELTO (2026-08-14)**: `mis_citas_screen` ahora navega con `AppRoutes.misCitasDetalleDe(id)` (path con el id real); el detalle ya no recibe el literal `':id'`. Verificar que el detalle carga</t>
  </si>
  <si>
    <t>TE-S-02</t>
  </si>
  <si>
    <t>Errores de `avanzar` tragados</t>
  </si>
  <si>
    <t>Fallo en transición</t>
  </si>
  <si>
    <t>**Confirmar bug**: el fold descarta la failure y re-emite el estado previo sin mensaje; el usuario no se entera</t>
  </si>
  <si>
    <t>TE-S-03</t>
  </si>
  <si>
    <t>Finalizar sin consentimiento</t>
  </si>
  <si>
    <t>Cita sin firma</t>
  </si>
  <si>
    <t>1. Finalizar sin firmar</t>
  </si>
  <si>
    <t>La UI no exige la firma; verificar si el negocio lo requiere</t>
  </si>
  <si>
    <t>TE-S-04</t>
  </si>
  <si>
    <t>`cancelarCita` sin exponer</t>
  </si>
  <si>
    <t>1. Buscar forma de cancelar desde la UI</t>
  </si>
  <si>
    <t>El datasource tiene `cancelarCita` pero ningún usecase/cubit lo expone; laguna funcional</t>
  </si>
  <si>
    <t>TE-S-05</t>
  </si>
  <si>
    <t>Estados sin Equatable</t>
  </si>
  <si>
    <t>1. Provocar rebuilds</t>
  </si>
  <si>
    <t>El cubit no usa Equatable: verificar rebuilds innecesarios o listeners duplicados</t>
  </si>
  <si>
    <t>TF-H-01</t>
  </si>
  <si>
    <t>10 Treatment Photos</t>
  </si>
  <si>
    <t>Carga de galería</t>
  </si>
  <si>
    <t>Tratamiento con fotos</t>
  </si>
  <si>
    <t>1. Deep link con id válido</t>
  </si>
  <si>
    <t>Fotos ordenadas por `fecha_captura` desc; secciones PRE/POST/OTRO con contadores; grid 2 columnas con `CachedNetworkImage`</t>
  </si>
  <si>
    <t>TF-H-02</t>
  </si>
  <si>
    <t>Registrar por URL</t>
  </si>
  <si>
    <t>1. URL válida + descripción + tipo 2. Guardar</t>
  </si>
  <si>
    <t>`registrarPorUrl` crea fila; aparece en la galería</t>
  </si>
  <si>
    <t>TF-H-03</t>
  </si>
  <si>
    <t>Subida binaria</t>
  </si>
  <si>
    <t>Imagen local</t>
  </si>
  <si>
    <t>1. Subir imagen</t>
  </si>
  <si>
    <t>Bucket `fotografias-tratamiento`, path `&lt;tratId&gt;/&lt;ts&gt;_&lt;ext&gt;`; spinner `uploading`; fila con tipo</t>
  </si>
  <si>
    <t>TF-H-04</t>
  </si>
  <si>
    <t>Eliminar fotografía</t>
  </si>
  <si>
    <t>Foto existente</t>
  </si>
  <si>
    <t>1. Eliminar 2. Confirmar</t>
  </si>
  <si>
    <t>`eliminarFotografia(id)` borra la fila; galería actualizada</t>
  </si>
  <si>
    <t>TF-V-01</t>
  </si>
  <si>
    <t>URL vacía</t>
  </si>
  <si>
    <t>1. Guardar sin URL</t>
  </si>
  <si>
    <t>TF-V-02</t>
  </si>
  <si>
    <t>URL inválida</t>
  </si>
  <si>
    <t>1. URL malformada</t>
  </si>
  <si>
    <t>Error controlado al cargar la imagen; sin crash</t>
  </si>
  <si>
    <t>TF-V-03</t>
  </si>
  <si>
    <t>Id de tratamiento inválido</t>
  </si>
  <si>
    <t>Deep link con id inexistente</t>
  </si>
  <si>
    <t>Estado de error con Reintentar</t>
  </si>
  <si>
    <t>TF-V-04</t>
  </si>
  <si>
    <t>Galería vacía</t>
  </si>
  <si>
    <t>Tratamiento sin fotos</t>
  </si>
  <si>
    <t>TF-G-01</t>
  </si>
  <si>
    <t>Ruta autenticada</t>
  </si>
  <si>
    <t>Guard `resolveAuthRedirect` envía a `/` (no es ruta pública)</t>
  </si>
  <si>
    <t>TF-G-02</t>
  </si>
  <si>
    <t>Fotos ajenas</t>
  </si>
  <si>
    <t>Paciente/especialista sin relación</t>
  </si>
  <si>
    <t>1. Deep link con tratamiento ajeno</t>
  </si>
  <si>
    <t>RLS impide leer fotos de otro paciente</t>
  </si>
  <si>
    <t>TF-G-03</t>
  </si>
  <si>
    <t>Bucket público</t>
  </si>
  <si>
    <t>1. Inspeccionar políticas del bucket `fotografias-tratamiento`</t>
  </si>
  <si>
    <t>Escritura solo autenticados; lectura según diseño (URLs públicas)</t>
  </si>
  <si>
    <t>TF-E-01</t>
  </si>
  <si>
    <t>Carga</t>
  </si>
  <si>
    <t>1. Observar estados</t>
  </si>
  <si>
    <t>`Loading` → `Loaded(fotografias, uploading)`</t>
  </si>
  <si>
    <t>TF-E-02</t>
  </si>
  <si>
    <t>Contadores por tipo</t>
  </si>
  <si>
    <t>Fotos mixtas</t>
  </si>
  <si>
    <t>1. Revisar secciones</t>
  </si>
  <si>
    <t>Conteo correcto por PRE/POST/OTRO</t>
  </si>
  <si>
    <t>TF-N-01</t>
  </si>
  <si>
    <t>1. Cargar galería</t>
  </si>
  <si>
    <t>TF-N-02</t>
  </si>
  <si>
    <t>Subida sin red</t>
  </si>
  <si>
    <t>1. Subir</t>
  </si>
  <si>
    <t>Error controlado; sin fila con URL muerta</t>
  </si>
  <si>
    <t>TF-N-03</t>
  </si>
  <si>
    <t>Imagen muy grande</t>
  </si>
  <si>
    <t>Foto &gt;10 MB</t>
  </si>
  <si>
    <t>Comportamiento definido: progreso o error claro; sin crash</t>
  </si>
  <si>
    <t>TF-N-04</t>
  </si>
  <si>
    <t>CachedNetworkImage con URL rota</t>
  </si>
  <si>
    <t>URL 404</t>
  </si>
  <si>
    <t>1. Ver galería</t>
  </si>
  <si>
    <t>Placeholder/error del widget; sin crash</t>
  </si>
  <si>
    <t>TF-S-01</t>
  </si>
  <si>
    <t>Ruta muerta</t>
  </si>
  <si>
    <t>1. Abrir una cita en EN_PROCESO y tocar "Fotografías del tratamiento"</t>
  </si>
  <si>
    <t>**RESUELTO (2026-08-14)**: se añadió entrada en `CitaDetalleScreen` (EN_PROCESO) que navega a `/tratamiento/&lt;id&gt;/fotos`; verificar la navegación</t>
  </si>
  <si>
    <t>TF-S-02</t>
  </si>
  <si>
    <t>Borrado no limpia el bucket</t>
  </si>
  <si>
    <t>Foto subida</t>
  </si>
  <si>
    <t>1. Eliminar desde la UI 2. Verificar bucket</t>
  </si>
  <si>
    <t>**Confirmar bug**: `eliminarFotografia` se llama sin `pathEnStorage`; el archivo queda huérfano en Storage</t>
  </si>
  <si>
    <t>TF-S-03</t>
  </si>
  <si>
    <t>Doble columna de tipo</t>
  </si>
  <si>
    <t>Subida nueva</t>
  </si>
  <si>
    <t>1. Subir foto 2. Inspeccionar fila en BD</t>
  </si>
  <si>
    <t>Escribe `tipo_fotografia` y además `tipo_foto` en minúsculas; verificar cuál es la columna oficial del esquema</t>
  </si>
  <si>
    <t>FLUJOS INTEGRADOS E2E</t>
  </si>
  <si>
    <t>Nota:</t>
  </si>
  <si>
    <t>Los flujos E2E están documentados en docs/Pruebas manuales/11_flujos_integrados_e2e.md</t>
  </si>
  <si>
    <t>Formato:</t>
  </si>
  <si>
    <t>Son flujos paso a paso que cruzan múltiples módulos, no casos individuales</t>
  </si>
  <si>
    <t>Flujos:</t>
  </si>
  <si>
    <t>E2E-A: Paciente completo (registro → evaluación → reserva publicada)</t>
  </si>
  <si>
    <t>E2E-B: Especialista completo (registro → verificación → acepta cita)</t>
  </si>
  <si>
    <t>E2E-C: Marketplace y primera aceptación</t>
  </si>
  <si>
    <t>E2E-D: Ciclo de atención completo</t>
  </si>
  <si>
    <t>E2E-E: Financiero (depósito → saldo → liquidación → pago)</t>
  </si>
  <si>
    <t>E2E-F: Escenario integral (2 pacientes, 2 especialistas, concurrencia)</t>
  </si>
  <si>
    <t>E2E-G: Notificaciones y calificaciones</t>
  </si>
  <si>
    <t>RS-H-01</t>
  </si>
  <si>
    <t>12 Solicitudes Reserva</t>
  </si>
  <si>
    <t>Resumen de la solicitud</t>
  </si>
  <si>
    <t>Evaluación APTO</t>
  </si>
  <si>
    <t>1. Entrar a `/services` 2. Tocar un servicio</t>
  </si>
  <si>
    <t>Navega a `SolicitudResumenScreen`: servicio, precio total, depósito (adelanto %), ubicación y radio</t>
  </si>
  <si>
    <t>RS-H-02</t>
  </si>
  <si>
    <t>Multi-servicio</t>
  </si>
  <si>
    <t>Resumen abierto</t>
  </si>
  <si>
    <t>1. "Agregar" 2. Elegir otro servicio</t>
  </si>
  <si>
    <t>Se suma al resumen; total y depósito recalculan</t>
  </si>
  <si>
    <t>RS-H-03</t>
  </si>
  <si>
    <t>Fecha/hora preferida</t>
  </si>
  <si>
    <t>1. "Elegir" 2. Seleccionar fecha y hora</t>
  </si>
  <si>
    <t>Muestra la preferencia en el resumen</t>
  </si>
  <si>
    <t>RS-H-04</t>
  </si>
  <si>
    <t>Crear + pagar depósito</t>
  </si>
  <si>
    <t>Dirección principal</t>
  </si>
  <si>
    <t>1. "Pagar depósito" 2. PaymentSheet (4242)</t>
  </si>
  <si>
    <t>Solicitud `PENDIENTE_PAGO`; pago OK; confirmación → `PUBLICADA` (o pendiente webhook)</t>
  </si>
  <si>
    <t>E2E ítems 2, 4, 5</t>
  </si>
  <si>
    <t>RS-H-05</t>
  </si>
  <si>
    <t>Mis solicitudes</t>
  </si>
  <si>
    <t>Tras crear</t>
  </si>
  <si>
    <t>1. Ir a `/mis-solicitudes`</t>
  </si>
  <si>
    <t>Lista con estado, servicios, montos y cita (si aceptada)</t>
  </si>
  <si>
    <t>E2E ítem 2</t>
  </si>
  <si>
    <t>RS-H-06</t>
  </si>
  <si>
    <t>Pago totalidad</t>
  </si>
  <si>
    <t>1. Activar "¿Pagar totalidad?" 2. Pagar</t>
  </si>
  <si>
    <t>Depósito = total; `pagos.estado=PAGADO`</t>
  </si>
  <si>
    <t>RS-V-01</t>
  </si>
  <si>
    <t>Sin dirección</t>
  </si>
  <si>
    <t>Paciente sin `direcciones_paciente`</t>
  </si>
  <si>
    <t>1. Intentar pagar</t>
  </si>
  <si>
    <t>Bloqueado: "Registra tu dirección antes de confirmar"</t>
  </si>
  <si>
    <t>RS-V-02</t>
  </si>
  <si>
    <t>Sin evaluación APTO</t>
  </si>
  <si>
    <t>RN-020 no vigente</t>
  </si>
  <si>
    <t>1. Tocar servicio del catálogo</t>
  </si>
  <si>
    <t>Modal de evaluación/requisitos (gate previo)</t>
  </si>
  <si>
    <t>Gate pre-existente verificado en catálogo (E2E 2026-08-20)</t>
  </si>
  <si>
    <t>RS-V-03</t>
  </si>
  <si>
    <t>PaymentSheet</t>
  </si>
  <si>
    <t>1. Cancelar el pago</t>
  </si>
  <si>
    <t>"El pago no se completó"; solicitud queda `PENDIENTE_PAGO` en Mis Solicitudes</t>
  </si>
  <si>
    <t>RS-V-04</t>
  </si>
  <si>
    <t>Depósito mínimo</t>
  </si>
  <si>
    <t>Servicio de precio bajo</t>
  </si>
  <si>
    <t>1. Pagar</t>
  </si>
  <si>
    <t>RPC valida ≥0.50 USD; error claro si aplica</t>
  </si>
  <si>
    <t>RS-V-05</t>
  </si>
  <si>
    <t>Publicación directa</t>
  </si>
  <si>
    <t>Manipular estado</t>
  </si>
  <si>
    <t>1. UPDATE directo a `PUBLICADA` sin pago confirmado</t>
  </si>
  <si>
    <t>Trigger `trg_proteger_publicacion_solicitud` lo bloquea (42501/except)</t>
  </si>
  <si>
    <t>E2E ítem 5 (contra-prueba)</t>
  </si>
  <si>
    <t>RS-G-01</t>
  </si>
  <si>
    <t>Enforce pago real</t>
  </si>
  <si>
    <t>`enforce_pago_real=true`</t>
  </si>
  <si>
    <t>1. Llamar `confirmar_deposito_solicitud` como paciente</t>
  </si>
  <si>
    <t>Rechazado (solo webhook); la app muestra "se publicará en unos segundos"</t>
  </si>
  <si>
    <t>E2E ítem 5 (gate)</t>
  </si>
  <si>
    <t>RS-G-02</t>
  </si>
  <si>
    <t>`solicitud_detalles` RLS</t>
  </si>
  <si>
    <t>Otro paciente</t>
  </si>
  <si>
    <t>1. Leer detalles de solicitud ajena</t>
  </si>
  <si>
    <t>Sin filas (RLS)</t>
  </si>
  <si>
    <t>Pendiente de prueba específica (policy verificada en esquema)</t>
  </si>
  <si>
    <t>RS-G-03</t>
  </si>
  <si>
    <t>Especialista lee solicitud aceptada</t>
  </si>
  <si>
    <t>1. Leer la solicitud ACEPTADA de su cita</t>
  </si>
  <si>
    <t>Visible (revela dirección exacta vía cita)</t>
  </si>
  <si>
    <t>AD-H-01</t>
  </si>
  <si>
    <t>13 Admin Dashboard</t>
  </si>
  <si>
    <t>Home con KPIs</t>
  </si>
  <si>
    <t>KPIs cargados (RPC `admin_resumen_kpis`)</t>
  </si>
  <si>
    <t>AD-H-02</t>
  </si>
  <si>
    <t>Tarjetas Administrativo</t>
  </si>
  <si>
    <t>1. Ver home</t>
  </si>
  <si>
    <t>Usuarios, Cuestionario, Catálogo, Licencias navegan</t>
  </si>
  <si>
    <t>AD-H-03</t>
  </si>
  <si>
    <t>Tarjetas Datos Maestros</t>
  </si>
  <si>
    <t>Roles, Configuración, Comisiones, Especialidades, Médicos navegan</t>
  </si>
  <si>
    <t>AD-H-04</t>
  </si>
  <si>
    <t>Licencias propia</t>
  </si>
  <si>
    <t>1. `/admin/licencias`</t>
  </si>
  <si>
    <t>Expedientes + aprobar/rechazar/bloquear + médicos</t>
  </si>
  <si>
    <t>AD-H-05</t>
  </si>
  <si>
    <t>Configuración editar</t>
  </si>
  <si>
    <t>1. `/admin/configuracion` 2. Editar una clave</t>
  </si>
  <si>
    <t>Guarda y persiste</t>
  </si>
  <si>
    <t>AD-H-06</t>
  </si>
  <si>
    <t>Roles CRUD</t>
  </si>
  <si>
    <t>1. `/admin/datos-maestros/roles` 2. Nuevo rol + asignar permiso</t>
  </si>
  <si>
    <t>Se crea y asigna</t>
  </si>
  <si>
    <t>AD-H-07</t>
  </si>
  <si>
    <t>Especialidades CRUD</t>
  </si>
  <si>
    <t>1. `/admin/datos-maestros/especialidades` 2. Nueva + toggle</t>
  </si>
  <si>
    <t>Se crea y activa/desactiva</t>
  </si>
  <si>
    <t>AD-H-08</t>
  </si>
  <si>
    <t>Médicos regentes</t>
  </si>
  <si>
    <t>1. `/admin/datos-maestros/medicos-regentes` 2. Registrar + aprobar</t>
  </si>
  <si>
    <t>Registra PENDIENTE; aprueba → ACTIVO</t>
  </si>
  <si>
    <t>AD-H-09</t>
  </si>
  <si>
    <t>Comisiones y liquidaciones</t>
  </si>
  <si>
    <t>1. `/admin/datos-maestros/comisiones`</t>
  </si>
  <si>
    <t>Lista liquidaciones/pagos; enlace a configuración</t>
  </si>
  <si>
    <t>AD-V-01</t>
  </si>
  <si>
    <t>Guard por rol</t>
  </si>
  <si>
    <t>1. Sesión especialista/paciente → `/admin/*`</t>
  </si>
  <si>
    <t>Redirige por rol</t>
  </si>
  <si>
    <t>AD-V-02</t>
  </si>
  <si>
    <t>RLS admin</t>
  </si>
  <si>
    <t>1. Leer `configuracion_sistema`/`roles`/`comisiones` sin admin</t>
  </si>
  <si>
    <t>NOT-01</t>
  </si>
  <si>
    <t>Notificaciones</t>
  </si>
  <si>
    <t>Registro de dispositivo FCM</t>
  </si>
  <si>
    <t>Especialista logueado</t>
  </si>
  <si>
    <t>1. Login especialista
2. Abrir app en browser con notificaciones habilitadas</t>
  </si>
  <si>
    <t>INSERT en dispositivos_usuario (usuario_id, token_fcm, plataforma WEB, activo=true)</t>
  </si>
  <si>
    <t>NOT-02</t>
  </si>
  <si>
    <t>Push solicitud nueva en zona</t>
  </si>
  <si>
    <t>Especialista APROBADO con geo</t>
  </si>
  <si>
    <t>1. Paciente crea solicitud con dirección geo
2. Solicitud pasa a PUBLICADA</t>
  </si>
  <si>
    <t>Trigger trg_notificar_solicitud_publicada genera notif SOLICITUD_NUEVA a especialistas en radio</t>
  </si>
  <si>
    <t>NOT-03</t>
  </si>
  <si>
    <t>Push solicitud aceptada</t>
  </si>
  <si>
    <t>Solicitud PUBLICADA</t>
  </si>
  <si>
    <t>1. Especialista acepta solicitud</t>
  </si>
  <si>
    <t>Notif SOLICITUD_ACEPTADA al paciente + cita PROGRAMADA creada</t>
  </si>
  <si>
    <t>NOT-04</t>
  </si>
  <si>
    <t>Push cambio estado cita</t>
  </si>
  <si>
    <t>1. Especialista cambia a EN_CAMINO
2. Luego a LLEGO</t>
  </si>
  <si>
    <t>2 notifs CITA_ESTADO al paciente (trigger trg_notificar_cambio_estado_cita)</t>
  </si>
  <si>
    <t>NOT-05</t>
  </si>
  <si>
    <t>Recordatorio previo a cita</t>
  </si>
  <si>
    <t>Cita PROGRAMADA con fecha_inicio en 2h</t>
  </si>
  <si>
    <t>1. Esperar a que pg_cron ejecute enviar_recordatorios_cita (cada 15min)</t>
  </si>
  <si>
    <t>Notif RECORDATORIO_CITA al paciente + fila en recordatorios_cita</t>
  </si>
  <si>
    <t>NOT-06</t>
  </si>
  <si>
    <t>Push documento rechazado</t>
  </si>
  <si>
    <t>Especialista con documentos</t>
  </si>
  <si>
    <t>1. Admin rechaza documento</t>
  </si>
  <si>
    <t>Notif DOCUMENTO_RECHAZADO al especialista</t>
  </si>
  <si>
    <t>NOT-07</t>
  </si>
  <si>
    <t>Push verificación aprobada</t>
  </si>
  <si>
    <t>Especialista EN_REVISION</t>
  </si>
  <si>
    <t>1. Admin aprueba verificación</t>
  </si>
  <si>
    <t>Notif VERIFICACION_APROBADA al especialista</t>
  </si>
  <si>
    <t>NOT-08</t>
  </si>
  <si>
    <t>Notificación in-app visible</t>
  </si>
  <si>
    <t>Notificaciones generadas</t>
  </si>
  <si>
    <t>1. Usuario abre app
2. Revisa campana de notificaciones</t>
  </si>
  <si>
    <t>Lista de notificaciones in-app visible con tipo, mensaje, fecha</t>
  </si>
  <si>
    <t>NOT-09</t>
  </si>
  <si>
    <t>Push FCM en dispositivo físico</t>
  </si>
  <si>
    <t>Dispositivo real + Firebase config</t>
  </si>
  <si>
    <t>1. Instalar PWA en móvil
2. Generar notificación</t>
  </si>
  <si>
    <t>Push recibido en sistema operativo (MANUAL - requiere dispositivo)</t>
  </si>
  <si>
    <t>NOT-10</t>
  </si>
  <si>
    <t>Sin notificaciones sin token FCM</t>
  </si>
  <si>
    <t>Usuario sin dispositivos_usuario</t>
  </si>
  <si>
    <t>1. Generar evento que notifica</t>
  </si>
  <si>
    <t>Solo notif in-app, sin push FCM</t>
  </si>
  <si>
    <t>NOT-11</t>
  </si>
  <si>
    <t>Idempotencia recordatorio</t>
  </si>
  <si>
    <t>Cita con recordatorio ya enviado</t>
  </si>
  <si>
    <t>1. Ejecutar enviar_recordatorios_cita de nuevo</t>
  </si>
  <si>
    <t>No duplica recordatorio (UNIQUE en recordatorios_cita.cita_id)</t>
  </si>
  <si>
    <t>NOT-12</t>
  </si>
  <si>
    <t>Notificación a usuario inexistente</t>
  </si>
  <si>
    <t>usuario_id inválido</t>
  </si>
  <si>
    <t>1. Llamar notificar_usuario_push con UUID inexistente</t>
  </si>
  <si>
    <t>Función maneja gracefully (no crash)</t>
  </si>
  <si>
    <t>NOT-13</t>
  </si>
  <si>
    <t>Push pago confirmado</t>
  </si>
  <si>
    <t>1. confirmar_pago_saldo ejecutado</t>
  </si>
  <si>
    <t>Notif PAGO al paciente + PAGO al especialista</t>
  </si>
  <si>
    <t>NOT-14</t>
  </si>
  <si>
    <t>Push liquidación generada</t>
  </si>
  <si>
    <t>Citas FINALIZADAS pagadas</t>
  </si>
  <si>
    <t>1. Admin ejecuta generar_liquidaciones</t>
  </si>
  <si>
    <t>Notif LIQUIDACION a especialistas incluidos</t>
  </si>
  <si>
    <t>NOT-15</t>
  </si>
  <si>
    <t>Notificación tras logout</t>
  </si>
  <si>
    <t>Usuario deslogueado</t>
  </si>
  <si>
    <t>1. Logout
2. Generar evento</t>
  </si>
  <si>
    <t>No recibe push (token desactivado por FcmTokenService.deactivateCurrentDevice)</t>
  </si>
  <si>
    <t>CAL-01</t>
  </si>
  <si>
    <t>Calificaciones</t>
  </si>
  <si>
    <t>Paciente califica especialista</t>
  </si>
  <si>
    <t>Cita FINALIZADA</t>
  </si>
  <si>
    <t>1. Paciente abre mis solicitudes
2. Cita finalizada
3. Click "Calificar especialista"
4. 5 estrellas + comentario
5. Enviar</t>
  </si>
  <si>
    <t>RPC registrar_evaluacion retorna {ok:true, evaluacion_id}. Fila en evaluaciones_servicio con evaluador_id=paciente, evaluado_especialista_id</t>
  </si>
  <si>
    <t>CAL-02</t>
  </si>
  <si>
    <t>Especialista califica paciente</t>
  </si>
  <si>
    <t>1. Especialista abre detalle cita
2. Click "Calificar paciente"
3. 4 estrellas + comentario
4. Enviar</t>
  </si>
  <si>
    <t>RPC registrar_evaluacion retorna {ok:true}. Fila con evaluador_id=especialista, evaluado_paciente_id</t>
  </si>
  <si>
    <t>CAL-03</t>
  </si>
  <si>
    <t>No calificar antes de finalizar</t>
  </si>
  <si>
    <t>1. Intentar registrar_evaluacion</t>
  </si>
  <si>
    <t>{ok:false, motivo:CITA_NO_FINALIZADA}</t>
  </si>
  <si>
    <t>CAL-04</t>
  </si>
  <si>
    <t>No segunda calificación</t>
  </si>
  <si>
    <t>Ya evaluado</t>
  </si>
  <si>
    <t>1. Mismo evaluador intenta calificar de nuevo</t>
  </si>
  <si>
    <t>{ok:false, motivo:YA_EVALUADO}</t>
  </si>
  <si>
    <t>CAL-05</t>
  </si>
  <si>
    <t>Puntuación inválida</t>
  </si>
  <si>
    <t>1. registrar_evaluacion con puntuacion=6</t>
  </si>
  <si>
    <t>{ok:false, motivo:PUNTUACION_INVALIDA}</t>
  </si>
  <si>
    <t>CAL-06</t>
  </si>
  <si>
    <t>No participante califica</t>
  </si>
  <si>
    <t>Admin u otro usuario</t>
  </si>
  <si>
    <t>1. Admin intenta calificar cita donde no participó</t>
  </si>
  <si>
    <t>{ok:false, motivo:NO_AUTORIZADO}</t>
  </si>
  <si>
    <t>CAL-07</t>
  </si>
  <si>
    <t>Promedio especialista</t>
  </si>
  <si>
    <t>Especialista con 2 evaluaciones (5,4)</t>
  </si>
  <si>
    <t>1. get_promedio_especialista</t>
  </si>
  <si>
    <t>{promedio:4.5, total:2}</t>
  </si>
  <si>
    <t>CAL-08</t>
  </si>
  <si>
    <t>Promedio en marketplace</t>
  </si>
  <si>
    <t>Especialista con evaluaciones</t>
  </si>
  <si>
    <t>1. Abrir mapa
2. Click especialista
3. Ver detalle sheet</t>
  </si>
  <si>
    <t>Promedio y total visibles en _EspecialistaDetailSheet</t>
  </si>
  <si>
    <t>CAL-09</t>
  </si>
  <si>
    <t>Promedio en perfil especialista</t>
  </si>
  <si>
    <t>Especialista logueado con evaluaciones</t>
  </si>
  <si>
    <t>1. Abrir perfil
2. Ver sección calificación</t>
  </si>
  <si>
    <t>_calificacionRow muestra promedio</t>
  </si>
  <si>
    <t>CAL-10</t>
  </si>
  <si>
    <t>UNIQUE cita_id+evaluador_id</t>
  </si>
  <si>
    <t>BD con evaluaciones</t>
  </si>
  <si>
    <t>1. Verificar constraint en BD</t>
  </si>
  <si>
    <t>UNIQUE (cita_id, evaluador_id) presente</t>
  </si>
  <si>
    <t>CAL-11</t>
  </si>
  <si>
    <t>CHECK puntuación 1-5</t>
  </si>
  <si>
    <t>BD</t>
  </si>
  <si>
    <t>1. Verificar constraint</t>
  </si>
  <si>
    <t>CHECK (puntuacion BETWEEN 1 AND 5)</t>
  </si>
  <si>
    <t>CAL-12</t>
  </si>
  <si>
    <t>Comentario largo</t>
  </si>
  <si>
    <t>1. Calificar con comentario de 500 caracteres</t>
  </si>
  <si>
    <t>Se guarda completo (text sin límite)</t>
  </si>
  <si>
    <t>CAL-13</t>
  </si>
  <si>
    <t>Sin comentario</t>
  </si>
  <si>
    <t>1. Calificar solo con estrellas</t>
  </si>
  <si>
    <t>evaluaciones_servicio.comentario = NULL (permitido)</t>
  </si>
  <si>
    <t>LIQ-01</t>
  </si>
  <si>
    <t>Liquidaciones</t>
  </si>
  <si>
    <t>Generar liquidaciones</t>
  </si>
  <si>
    <t>Citas FINALIZADAS pagadas del período</t>
  </si>
  <si>
    <t>1. Admin abre conciliación
2. Selecciona período
3. Click "Generar liquidación"</t>
  </si>
  <si>
    <t>RPC generar_liquidaciones agrupa por especialista. INSERT liquidaciones_especialistas (estado PENDIENTE) + liquidacion_detalles + comisiones</t>
  </si>
  <si>
    <t>LIQ-02</t>
  </si>
  <si>
    <t>Idempotencia liquidación</t>
  </si>
  <si>
    <t>Cita ya liquidada</t>
  </si>
  <si>
    <t>1. Generar liquidaciones de nuevo</t>
  </si>
  <si>
    <t>Cita ya liquidada NO se incluye (NOT EXISTS liquidacion_detalles)</t>
  </si>
  <si>
    <t>LIQ-03</t>
  </si>
  <si>
    <t>Máquina estados liquidación</t>
  </si>
  <si>
    <t>Liquidación PENDIENTE</t>
  </si>
  <si>
    <t>1. Cambiar a EN_REVISION
2. Luego a APROBADA
3. Luego a PAGADA</t>
  </si>
  <si>
    <t>Trigger trg_validar_transicion_estado_liquidacion permite transiciones válidas</t>
  </si>
  <si>
    <t>LIQ-04</t>
  </si>
  <si>
    <t>1. Intentar cambiar directo a PAGADA</t>
  </si>
  <si>
    <t>Trigger rechaza (transición no permitida)</t>
  </si>
  <si>
    <t>LIQ-05</t>
  </si>
  <si>
    <t>Registrar pago externo</t>
  </si>
  <si>
    <t>Liquidación APROBADA</t>
  </si>
  <si>
    <t>1. Admin abre diálogo "Registrar pago"
2. Método: Transferencia
3. Referencia, monto, notas
4. Adjuntar comprobante (image_picker)
5. Enviar</t>
  </si>
  <si>
    <t>RPC registrar_pago_especialista INSERT pagos_especialistas + UPDATE liquidación PAGADA + fecha_pago. Comprobante subido a bucket comprobantes-pagos</t>
  </si>
  <si>
    <t>LIQ-06</t>
  </si>
  <si>
    <t>Pago monto incorrecto</t>
  </si>
  <si>
    <t>Liquidación APROBADA monto_pagar=144</t>
  </si>
  <si>
    <t>1. Registrar pago con monto=100</t>
  </si>
  <si>
    <t>Permite (monto por defecto = monto_pagar, pero se puede especificar otro)</t>
  </si>
  <si>
    <t>LIQ-07</t>
  </si>
  <si>
    <t>Comprobante URL firmada</t>
  </si>
  <si>
    <t>Pago con comprobante</t>
  </si>
  <si>
    <t>1. Admin o especialista ve comprobante</t>
  </si>
  <si>
    <t>firmarComprobante genera URL firmada válida (bucket privado)</t>
  </si>
  <si>
    <t>LIQ-08</t>
  </si>
  <si>
    <t>Solo admin registra pago</t>
  </si>
  <si>
    <t>1. Intentar registrar_pago_especialista</t>
  </si>
  <si>
    <t>RLS/rechaza (solo admin)</t>
  </si>
  <si>
    <t>LIQ-09</t>
  </si>
  <si>
    <t>Liquidación ya pagada</t>
  </si>
  <si>
    <t>Liquidación PAGADA</t>
  </si>
  <si>
    <t>1. Intentar registrar pago de nuevo</t>
  </si>
  <si>
    <t>{ok:false, motivo:YA_PAGADA}</t>
  </si>
  <si>
    <t>LIQ-10</t>
  </si>
  <si>
    <t>Período por defecto</t>
  </si>
  <si>
    <t>Admin abre conciliación</t>
  </si>
  <si>
    <t>1. Ver selector de período</t>
  </si>
  <si>
    <t>Por defecto: última semana completa (lunes-domingo) según inicio_semana_liquidacion config</t>
  </si>
  <si>
    <t>LIQ-11</t>
  </si>
  <si>
    <t>Comisión calculada</t>
  </si>
  <si>
    <t>Liquidación generada</t>
  </si>
  <si>
    <t>1. Ver liquidacion_detalles</t>
  </si>
  <si>
    <t>comision_aplicada = monto_servicio * comision_porcentaje / 100. monto_especialista = monto_servicio - comision</t>
  </si>
  <si>
    <t>LIQ-12</t>
  </si>
  <si>
    <t>Anular liquidación</t>
  </si>
  <si>
    <t>1. Cambiar estado a ANULADA</t>
  </si>
  <si>
    <t>Transición permitida. Liquidación no se procesa más</t>
  </si>
  <si>
    <t>LIQ-13</t>
  </si>
  <si>
    <t>Enviar a revisión</t>
  </si>
  <si>
    <t>1. Click "Enviar a revisión"</t>
  </si>
  <si>
    <t>Estado cambia a EN_REVISION</t>
  </si>
  <si>
    <t>LIQ-14</t>
  </si>
  <si>
    <t>Aprobar liquidación</t>
  </si>
  <si>
    <t>Liquidación EN_REVISION</t>
  </si>
  <si>
    <t>1. Click "Aprobar"</t>
  </si>
  <si>
    <t>Estado cambia a APROBADA</t>
  </si>
  <si>
    <t>LIQ-15</t>
  </si>
  <si>
    <t>Detalle por cita</t>
  </si>
  <si>
    <t>Liquidación con múltiples citas</t>
  </si>
  <si>
    <t>1. Expandir liquidación en admin_comisiones_screen</t>
  </si>
  <si>
    <t>Lista de citas con monto, comisión, monto especialista</t>
  </si>
  <si>
    <t>LIQ-16</t>
  </si>
  <si>
    <t>Métodos de pago válidos</t>
  </si>
  <si>
    <t>Registrar pago</t>
  </si>
  <si>
    <t>1. Probar métodos: Transferencia, Efectivo, Cheque, Otro</t>
  </si>
  <si>
    <t>Todos aceptados (CHECK metodo_pago)</t>
  </si>
  <si>
    <t>LIQ-17</t>
  </si>
  <si>
    <t>Método de pago inválido</t>
  </si>
  <si>
    <t>1. Intentar método "Bitcoin"</t>
  </si>
  <si>
    <t>CHECK rechaza</t>
  </si>
  <si>
    <t>LIQ-18</t>
  </si>
  <si>
    <t>Comprobante grande</t>
  </si>
  <si>
    <t>Imagen &gt;5MB</t>
  </si>
  <si>
    <t>1. Subir comprobante grande</t>
  </si>
  <si>
    <t>Storage acepta (sin límite explícito en bucket)</t>
  </si>
  <si>
    <t>HLIQ-01</t>
  </si>
  <si>
    <t>Historial Liq</t>
  </si>
  <si>
    <t>Especialista ve sus liquidaciones</t>
  </si>
  <si>
    <t>Especialista con liquidaciones</t>
  </si>
  <si>
    <t>1. Login especialista
2. Home → "Mis liquidaciones"</t>
  </si>
  <si>
    <t>Lista de liquidaciones del especialista (RLS specialist_select)</t>
  </si>
  <si>
    <t>HLIQ-02</t>
  </si>
  <si>
    <t>Liquidación estado visible</t>
  </si>
  <si>
    <t>Liquidación en distintos estados</t>
  </si>
  <si>
    <t>1. Ver lista</t>
  </si>
  <si>
    <t>Chip de estado coloreado (PENDIENTE/EN_REVISION/APROBADA/PAGADA/ANULADA)</t>
  </si>
  <si>
    <t>HLIQ-03</t>
  </si>
  <si>
    <t>Ver comprobante pago</t>
  </si>
  <si>
    <t>Liquidación PAGADA con comprobante</t>
  </si>
  <si>
    <t>1. Click "Ver comprobante"</t>
  </si>
  <si>
    <t>URL firmada abre imagen en nueva pestaña</t>
  </si>
  <si>
    <t>HLIQ-04</t>
  </si>
  <si>
    <t>Monto neto visible</t>
  </si>
  <si>
    <t>Liquidación</t>
  </si>
  <si>
    <t>1. Ver tarjeta</t>
  </si>
  <si>
    <t>monto_pagar visible</t>
  </si>
  <si>
    <t>HLIQ-05</t>
  </si>
  <si>
    <t>Período visible</t>
  </si>
  <si>
    <t>fecha_inicio y fecha_fin visibles</t>
  </si>
  <si>
    <t>HLIQ-06</t>
  </si>
  <si>
    <t>Método pago visible</t>
  </si>
  <si>
    <t>1. Ver pago asociado</t>
  </si>
  <si>
    <t>metodo_pago visible</t>
  </si>
  <si>
    <t>HLIQ-07</t>
  </si>
  <si>
    <t>1. Intentar cambiar estado o registrar pago</t>
  </si>
  <si>
    <t>No hay botones/API. Solo SELECT (RLS)</t>
  </si>
  <si>
    <t>HLIQ-08</t>
  </si>
  <si>
    <t>Sin liquidaciones</t>
  </si>
  <si>
    <t>Especialista nuevo sin liquidaciones</t>
  </si>
  <si>
    <t>1. Abrir Mis liquidaciones</t>
  </si>
  <si>
    <t>Lista vacía, mensaje "No hay liquidaciones"</t>
  </si>
  <si>
    <t>CON-01</t>
  </si>
  <si>
    <t>Conciliacion</t>
  </si>
  <si>
    <t>Tab Transacciones</t>
  </si>
  <si>
    <t>1. Abrir conciliación
2. Tab "Transacciones"</t>
  </si>
  <si>
    <t>Lista de transacciones (DEPOSITO, SALDO, etc.) con filtros</t>
  </si>
  <si>
    <t>CON-02</t>
  </si>
  <si>
    <t>Tab Detalle por cita</t>
  </si>
  <si>
    <t>1. Tab "Detalle por cita"
2. Seleccionar período
3. Seleccionar cita de lista
4. Consultar</t>
  </si>
  <si>
    <t>Detalle financiero: monto_total, deposito, saldo_pendiente, estado_pago, comisión</t>
  </si>
  <si>
    <t>CON-03</t>
  </si>
  <si>
    <t>Tab Citas terminadas</t>
  </si>
  <si>
    <t>1. Tab "Citas terminadas"
2. Seleccionar período</t>
  </si>
  <si>
    <t>Lista de citas FINALIZADA del período (incluye liquidadas y pendientes de pago)</t>
  </si>
  <si>
    <t>CON-04</t>
  </si>
  <si>
    <t>Cita liquidada marcada</t>
  </si>
  <si>
    <t>Cita ya liquidada en período</t>
  </si>
  <si>
    <t>1. Ver lista citas terminadas</t>
  </si>
  <si>
    <t>Cita aparece con chip azul "LIQUIDADA"</t>
  </si>
  <si>
    <t>CON-05</t>
  </si>
  <si>
    <t>Cita FINALIZADA con saldo&gt;0</t>
  </si>
  <si>
    <t>Cita aparece con chip ámbar "TERMINADA" + texto "Aún con saldo pendiente: no es elegible"</t>
  </si>
  <si>
    <t>CON-06</t>
  </si>
  <si>
    <t>Generar liquidación</t>
  </si>
  <si>
    <t>Citas elegibles (no liquidadas)</t>
  </si>
  <si>
    <t>1. Click "Generar liquidación"</t>
  </si>
  <si>
    <t>RPC generar_liquidaciones ejecutado. Mensaje "Liquidación generada: N especialista(s), N cita(s), $X a pagar"</t>
  </si>
  <si>
    <t>CON-07</t>
  </si>
  <si>
    <t>Seleccionar período personalizado</t>
  </si>
  <si>
    <t>Admin en Citas terminadas</t>
  </si>
  <si>
    <t>1. Click "Seleccionar período"
2. Elegir rango de fechas
3. Confirmar</t>
  </si>
  <si>
    <t>Lista se recarga con citas del nuevo período</t>
  </si>
  <si>
    <t>CON-08</t>
  </si>
  <si>
    <t>Última semana completa (lunes-domingo)</t>
  </si>
  <si>
    <t>CON-09</t>
  </si>
  <si>
    <t>Consulta directa por UUID</t>
  </si>
  <si>
    <t>Admin en Detalle por cita</t>
  </si>
  <si>
    <t>1. Pegar UUID de cita en campo
2. Consultar</t>
  </si>
  <si>
    <t>Detalle financiero de esa cita específica</t>
  </si>
  <si>
    <t>CON-10</t>
  </si>
  <si>
    <t>Sin citas en período</t>
  </si>
  <si>
    <t>Período sin citas FINALIZADAS</t>
  </si>
  <si>
    <t>1. Seleccionar período vacío</t>
  </si>
  <si>
    <t>Mensaje "No hay citas terminadas en el período"</t>
  </si>
  <si>
    <t>CON-11</t>
  </si>
  <si>
    <t>Transacciones filtros</t>
  </si>
  <si>
    <t>1. Aplicar filtros (estado, tipo, fecha)</t>
  </si>
  <si>
    <t>Lista filtrada correctamente</t>
  </si>
  <si>
    <t>CON-12</t>
  </si>
  <si>
    <t>Detalle financiero montos</t>
  </si>
  <si>
    <t>Cita con pago</t>
  </si>
  <si>
    <t>monto_total, deposito, saldo_pendiente correctos (no en cero)</t>
  </si>
  <si>
    <t>SW-01</t>
  </si>
  <si>
    <t>Sesion Web</t>
  </si>
  <si>
    <t>Cerrar pestaña limpia sesión</t>
  </si>
  <si>
    <t>Usuario logueado en web</t>
  </si>
  <si>
    <t>1. Cerrar pestaña del navegador
2. Reabrir app</t>
  </si>
  <si>
    <t>Pantalla de login (sesión borrada por pagehide listener)</t>
  </si>
  <si>
    <t>SW-02</t>
  </si>
  <si>
    <t>F5 limpia sesión</t>
  </si>
  <si>
    <t>1. Presionar F5 (refresh)
2. Esperar recarga</t>
  </si>
  <si>
    <t>Pantalla de login (sesión borrada por pagehide)</t>
  </si>
  <si>
    <t>SW-03</t>
  </si>
  <si>
    <t>Navegación SPA no limpia</t>
  </si>
  <si>
    <t>Usuario logueado</t>
  </si>
  <si>
    <t>1. Navegar entre rutas (GoRouter)
2. Cambiar de pantalla</t>
  </si>
  <si>
    <t>Sesión se mantiene (no dispara pagehide)</t>
  </si>
  <si>
    <t>SW-04</t>
  </si>
  <si>
    <t>PKCE verifier preservado</t>
  </si>
  <si>
    <t>Link de confirmación pendiente</t>
  </si>
  <si>
    <t>1. Cerrar pestaña
2. Abrir link de confirmación</t>
  </si>
  <si>
    <t>Confirmación funciona (verifier PKCE en claves flutter. no se borra)</t>
  </si>
  <si>
    <t>SW-05</t>
  </si>
  <si>
    <t>Mobile no limpia en detached</t>
  </si>
  <si>
    <t>App móvil</t>
  </si>
  <si>
    <t>1. Cerrar app
2. Reabrir</t>
  </si>
  <si>
    <t>Sesión se mantiene (clearLocalSession en detached, pero gotrue ya limpió)</t>
  </si>
  <si>
    <t>SW-06</t>
  </si>
  <si>
    <t>LocalStorage limpiado</t>
  </si>
  <si>
    <t>1. Abrir DevTools
2. Application → Local Storage
3. Cerrar pestaña
4. Reabrir DevTools</t>
  </si>
  <si>
    <t>Clave sb-hhyjremkguvphmjuaazp-auth-token eliminada</t>
  </si>
  <si>
    <t>Colocar flecha vista anterior</t>
  </si>
  <si>
    <t>cambia contraseña con actual incorrecta</t>
  </si>
  <si>
    <t>Falta texto de contrato</t>
  </si>
  <si>
    <t>postgrestexception: ´code: 42501 policy for table medicos_regentes, hint: NULL</t>
  </si>
  <si>
    <t>No permite subir otro: identificacion-Licencia-Diploma</t>
  </si>
  <si>
    <t>No emite ningún mensaje que indique el error: "No es un especialista. Pasa a Servicios paiente".</t>
  </si>
  <si>
    <t>No emite ningún mensaje que indique el error: "No es un administrador. Pasa a datos especialista".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</si>
</sst>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0" applyNumberForma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F1"/>
    </sheetView>
  </sheetViews>
  <sheetFormatPr baseColWidth="10" defaultColWidth="9.140625" defaultRowHeight="15" x14ac:dyDescent="0.25"/>
  <cols>
    <col min="1" max="1" width="20" style="14" customWidth="1"/>
    <col min="2" max="2" width="60" style="14" customWidth="1"/>
  </cols>
  <sheetData>
    <row r="1" spans="1:6" ht="30" customHeight="1" x14ac:dyDescent="0.25">
      <c r="A1" s="15" t="s">
        <v>0</v>
      </c>
      <c r="B1" s="16"/>
      <c r="C1" s="16"/>
      <c r="D1" s="16"/>
      <c r="E1" s="16"/>
      <c r="F1" s="16"/>
    </row>
    <row r="3" spans="1:6" x14ac:dyDescent="0.25">
      <c r="A3" s="1" t="s">
        <v>1</v>
      </c>
      <c r="B3" t="s">
        <v>2</v>
      </c>
    </row>
    <row r="4" spans="1:6" x14ac:dyDescent="0.25">
      <c r="A4" s="1" t="s">
        <v>3</v>
      </c>
      <c r="B4" t="s">
        <v>4</v>
      </c>
    </row>
    <row r="5" spans="1:6" x14ac:dyDescent="0.25">
      <c r="A5" s="1" t="s">
        <v>5</v>
      </c>
      <c r="B5" t="s">
        <v>6</v>
      </c>
    </row>
    <row r="6" spans="1:6" x14ac:dyDescent="0.25">
      <c r="A6" s="1" t="s">
        <v>7</v>
      </c>
      <c r="B6" t="s">
        <v>8</v>
      </c>
    </row>
    <row r="7" spans="1:6" x14ac:dyDescent="0.25">
      <c r="A7" s="2"/>
    </row>
    <row r="8" spans="1:6" x14ac:dyDescent="0.25">
      <c r="A8" s="1" t="s">
        <v>9</v>
      </c>
    </row>
    <row r="9" spans="1:6" x14ac:dyDescent="0.25">
      <c r="A9" s="2" t="s">
        <v>10</v>
      </c>
    </row>
    <row r="10" spans="1:6" x14ac:dyDescent="0.25">
      <c r="A10" s="2" t="s">
        <v>11</v>
      </c>
    </row>
    <row r="11" spans="1:6" x14ac:dyDescent="0.25">
      <c r="A11" s="2" t="s">
        <v>12</v>
      </c>
    </row>
    <row r="12" spans="1:6" x14ac:dyDescent="0.25">
      <c r="A12" s="2" t="s">
        <v>13</v>
      </c>
    </row>
    <row r="13" spans="1:6" x14ac:dyDescent="0.25">
      <c r="A13" s="1" t="s">
        <v>14</v>
      </c>
    </row>
    <row r="14" spans="1:6" x14ac:dyDescent="0.25">
      <c r="A14" s="1" t="s">
        <v>15</v>
      </c>
    </row>
    <row r="15" spans="1:6" x14ac:dyDescent="0.25">
      <c r="A15" s="2"/>
    </row>
    <row r="16" spans="1:6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opLeftCell="A3" workbookViewId="0">
      <selection sqref="A1:D1"/>
    </sheetView>
  </sheetViews>
  <sheetFormatPr baseColWidth="10" defaultColWidth="9.140625" defaultRowHeight="15" x14ac:dyDescent="0.25"/>
  <cols>
    <col min="1" max="1" width="25" style="14" customWidth="1"/>
    <col min="2" max="2" width="70" style="14" customWidth="1"/>
  </cols>
  <sheetData>
    <row r="1" spans="1:4" ht="21" customHeight="1" x14ac:dyDescent="0.35">
      <c r="A1" s="17" t="s">
        <v>20</v>
      </c>
      <c r="B1" s="16"/>
      <c r="C1" s="16"/>
      <c r="D1" s="16"/>
    </row>
    <row r="3" spans="1:4" x14ac:dyDescent="0.25">
      <c r="A3" s="1" t="s">
        <v>21</v>
      </c>
    </row>
    <row r="4" spans="1:4" x14ac:dyDescent="0.25">
      <c r="A4" t="s">
        <v>22</v>
      </c>
      <c r="B4" t="s">
        <v>23</v>
      </c>
    </row>
    <row r="5" spans="1:4" x14ac:dyDescent="0.25">
      <c r="A5" t="s">
        <v>24</v>
      </c>
      <c r="B5" t="s">
        <v>25</v>
      </c>
    </row>
    <row r="6" spans="1:4" x14ac:dyDescent="0.25">
      <c r="A6" t="s">
        <v>26</v>
      </c>
      <c r="B6" t="s">
        <v>27</v>
      </c>
    </row>
    <row r="7" spans="1:4" x14ac:dyDescent="0.25">
      <c r="A7" t="s">
        <v>28</v>
      </c>
      <c r="B7" t="s">
        <v>29</v>
      </c>
    </row>
    <row r="9" spans="1:4" x14ac:dyDescent="0.25">
      <c r="A9" s="1" t="s">
        <v>30</v>
      </c>
    </row>
    <row r="10" spans="1:4" x14ac:dyDescent="0.25">
      <c r="A10" t="s">
        <v>31</v>
      </c>
      <c r="B10" t="s">
        <v>32</v>
      </c>
    </row>
    <row r="11" spans="1:4" x14ac:dyDescent="0.25">
      <c r="A11" t="s">
        <v>33</v>
      </c>
      <c r="B11" t="s">
        <v>34</v>
      </c>
    </row>
    <row r="12" spans="1:4" x14ac:dyDescent="0.25">
      <c r="A12" t="s">
        <v>35</v>
      </c>
      <c r="B12" t="s">
        <v>36</v>
      </c>
    </row>
    <row r="13" spans="1:4" x14ac:dyDescent="0.25">
      <c r="A13" t="s">
        <v>37</v>
      </c>
      <c r="B13" t="s">
        <v>38</v>
      </c>
    </row>
    <row r="15" spans="1:4" x14ac:dyDescent="0.25">
      <c r="A15" s="1" t="s">
        <v>39</v>
      </c>
    </row>
    <row r="16" spans="1:4" x14ac:dyDescent="0.25">
      <c r="A16" t="s">
        <v>40</v>
      </c>
      <c r="B16" t="s">
        <v>41</v>
      </c>
    </row>
    <row r="17" spans="1:2" x14ac:dyDescent="0.25">
      <c r="A17" t="s">
        <v>42</v>
      </c>
      <c r="B17" t="s">
        <v>43</v>
      </c>
    </row>
    <row r="19" spans="1:2" x14ac:dyDescent="0.25">
      <c r="A19" s="1" t="s">
        <v>44</v>
      </c>
    </row>
    <row r="20" spans="1:2" x14ac:dyDescent="0.25">
      <c r="A20" t="s">
        <v>45</v>
      </c>
      <c r="B20" t="s">
        <v>46</v>
      </c>
    </row>
    <row r="21" spans="1:2" x14ac:dyDescent="0.25">
      <c r="A21" t="s">
        <v>47</v>
      </c>
      <c r="B21" t="s">
        <v>48</v>
      </c>
    </row>
    <row r="22" spans="1:2" x14ac:dyDescent="0.25">
      <c r="A22" t="s">
        <v>49</v>
      </c>
      <c r="B22" t="s">
        <v>50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54</v>
      </c>
    </row>
    <row r="25" spans="1:2" x14ac:dyDescent="0.25">
      <c r="A25" t="s">
        <v>7</v>
      </c>
      <c r="B25" t="s">
        <v>55</v>
      </c>
    </row>
    <row r="26" spans="1:2" x14ac:dyDescent="0.25">
      <c r="A26" t="s">
        <v>56</v>
      </c>
      <c r="B26" t="s">
        <v>57</v>
      </c>
    </row>
    <row r="27" spans="1:2" x14ac:dyDescent="0.25">
      <c r="A27" t="s">
        <v>58</v>
      </c>
      <c r="B27" t="s">
        <v>59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sqref="A1:F1"/>
    </sheetView>
  </sheetViews>
  <sheetFormatPr baseColWidth="10" defaultColWidth="9.140625" defaultRowHeight="15" x14ac:dyDescent="0.25"/>
  <cols>
    <col min="1" max="1" width="25" style="14" customWidth="1"/>
    <col min="2" max="3" width="30" style="14" customWidth="1"/>
    <col min="4" max="4" width="25" style="14" customWidth="1"/>
    <col min="5" max="5" width="33.85546875" style="14" customWidth="1"/>
    <col min="6" max="6" width="30" style="14" customWidth="1"/>
  </cols>
  <sheetData>
    <row r="1" spans="1:6" ht="21" customHeight="1" x14ac:dyDescent="0.35">
      <c r="A1" s="17" t="s">
        <v>60</v>
      </c>
      <c r="B1" s="16"/>
      <c r="C1" s="16"/>
      <c r="D1" s="16"/>
      <c r="E1" s="16"/>
      <c r="F1" s="16"/>
    </row>
    <row r="3" spans="1:6" x14ac:dyDescent="0.25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</row>
    <row r="4" spans="1:6" ht="18" customHeight="1" x14ac:dyDescent="0.25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</row>
    <row r="5" spans="1:6" x14ac:dyDescent="0.25">
      <c r="A5" s="4" t="s">
        <v>67</v>
      </c>
      <c r="B5" s="4" t="s">
        <v>73</v>
      </c>
      <c r="C5" s="4" t="s">
        <v>69</v>
      </c>
      <c r="D5" s="4" t="s">
        <v>74</v>
      </c>
      <c r="E5" s="4" t="s">
        <v>75</v>
      </c>
      <c r="F5" s="4" t="s">
        <v>76</v>
      </c>
    </row>
    <row r="6" spans="1:6" x14ac:dyDescent="0.25">
      <c r="A6" s="4" t="s">
        <v>67</v>
      </c>
      <c r="B6" s="4" t="s">
        <v>77</v>
      </c>
      <c r="C6" s="4" t="s">
        <v>69</v>
      </c>
      <c r="D6" s="4" t="s">
        <v>78</v>
      </c>
      <c r="E6" s="4" t="s">
        <v>79</v>
      </c>
      <c r="F6" s="4" t="s">
        <v>80</v>
      </c>
    </row>
    <row r="7" spans="1:6" x14ac:dyDescent="0.25">
      <c r="A7" s="4" t="s">
        <v>67</v>
      </c>
      <c r="B7" s="4" t="s">
        <v>81</v>
      </c>
      <c r="C7" s="4" t="s">
        <v>69</v>
      </c>
      <c r="D7" s="4" t="s">
        <v>82</v>
      </c>
      <c r="E7" s="4" t="s">
        <v>83</v>
      </c>
      <c r="F7" s="4" t="s">
        <v>84</v>
      </c>
    </row>
    <row r="8" spans="1:6" x14ac:dyDescent="0.25">
      <c r="A8" s="4" t="s">
        <v>67</v>
      </c>
      <c r="B8" s="4" t="s">
        <v>85</v>
      </c>
      <c r="C8" s="4" t="s">
        <v>69</v>
      </c>
      <c r="D8" s="4" t="s">
        <v>86</v>
      </c>
      <c r="E8" s="4" t="s">
        <v>87</v>
      </c>
      <c r="F8" s="4" t="s">
        <v>88</v>
      </c>
    </row>
    <row r="9" spans="1:6" x14ac:dyDescent="0.25">
      <c r="A9" s="4" t="s">
        <v>89</v>
      </c>
      <c r="B9" s="4" t="s">
        <v>90</v>
      </c>
      <c r="C9" s="4" t="s">
        <v>69</v>
      </c>
      <c r="D9" s="4" t="s">
        <v>91</v>
      </c>
      <c r="E9" s="4" t="s">
        <v>92</v>
      </c>
      <c r="F9" s="4" t="s">
        <v>93</v>
      </c>
    </row>
    <row r="10" spans="1:6" x14ac:dyDescent="0.25">
      <c r="A10" s="4" t="s">
        <v>89</v>
      </c>
      <c r="B10" s="4" t="s">
        <v>94</v>
      </c>
      <c r="C10" s="4" t="s">
        <v>69</v>
      </c>
      <c r="D10" s="4" t="s">
        <v>95</v>
      </c>
      <c r="E10" s="4" t="s">
        <v>75</v>
      </c>
      <c r="F10" s="4" t="s">
        <v>96</v>
      </c>
    </row>
    <row r="11" spans="1:6" x14ac:dyDescent="0.25">
      <c r="A11" s="4" t="s">
        <v>89</v>
      </c>
      <c r="B11" s="4" t="s">
        <v>97</v>
      </c>
      <c r="C11" s="4" t="s">
        <v>69</v>
      </c>
      <c r="D11" s="4" t="s">
        <v>98</v>
      </c>
      <c r="E11" s="4" t="s">
        <v>99</v>
      </c>
      <c r="F11" s="4" t="s">
        <v>100</v>
      </c>
    </row>
    <row r="12" spans="1:6" x14ac:dyDescent="0.25">
      <c r="A12" s="4" t="s">
        <v>89</v>
      </c>
      <c r="B12" s="4" t="s">
        <v>101</v>
      </c>
      <c r="C12" s="4" t="s">
        <v>69</v>
      </c>
      <c r="D12" s="4" t="s">
        <v>102</v>
      </c>
      <c r="E12" s="4" t="s">
        <v>103</v>
      </c>
      <c r="F12" s="4" t="s">
        <v>104</v>
      </c>
    </row>
    <row r="13" spans="1:6" x14ac:dyDescent="0.25">
      <c r="A13" s="4" t="s">
        <v>89</v>
      </c>
      <c r="B13" s="4" t="s">
        <v>105</v>
      </c>
      <c r="C13" s="4" t="s">
        <v>69</v>
      </c>
      <c r="D13" s="4" t="s">
        <v>106</v>
      </c>
      <c r="E13" s="4" t="s">
        <v>107</v>
      </c>
      <c r="F13" s="4" t="s">
        <v>108</v>
      </c>
    </row>
    <row r="14" spans="1:6" x14ac:dyDescent="0.25">
      <c r="A14" s="4" t="s">
        <v>89</v>
      </c>
      <c r="B14" s="4" t="s">
        <v>109</v>
      </c>
      <c r="C14" s="4" t="s">
        <v>69</v>
      </c>
      <c r="D14" s="4" t="s">
        <v>86</v>
      </c>
      <c r="E14" s="4" t="s">
        <v>87</v>
      </c>
      <c r="F14" s="4" t="s">
        <v>88</v>
      </c>
    </row>
    <row r="15" spans="1:6" x14ac:dyDescent="0.25">
      <c r="A15" s="4" t="s">
        <v>110</v>
      </c>
      <c r="B15" s="4" t="s">
        <v>111</v>
      </c>
      <c r="C15" s="4" t="s">
        <v>69</v>
      </c>
      <c r="D15" s="4" t="s">
        <v>112</v>
      </c>
      <c r="E15" s="4" t="s">
        <v>113</v>
      </c>
      <c r="F15" s="4" t="s">
        <v>114</v>
      </c>
    </row>
    <row r="17" spans="1:2" x14ac:dyDescent="0.25">
      <c r="A17" s="1" t="s">
        <v>115</v>
      </c>
    </row>
    <row r="18" spans="1:2" x14ac:dyDescent="0.25">
      <c r="A18" t="s">
        <v>116</v>
      </c>
      <c r="B18" t="s">
        <v>117</v>
      </c>
    </row>
    <row r="19" spans="1:2" x14ac:dyDescent="0.25">
      <c r="A19" t="s">
        <v>118</v>
      </c>
      <c r="B19" t="s">
        <v>119</v>
      </c>
    </row>
    <row r="20" spans="1:2" x14ac:dyDescent="0.25">
      <c r="A20" t="s">
        <v>120</v>
      </c>
      <c r="B20" t="s">
        <v>121</v>
      </c>
    </row>
    <row r="21" spans="1:2" x14ac:dyDescent="0.25">
      <c r="A21" t="s">
        <v>122</v>
      </c>
      <c r="B21" t="s">
        <v>123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>
      <selection activeCell="B27" sqref="B27"/>
    </sheetView>
  </sheetViews>
  <sheetFormatPr baseColWidth="10" defaultColWidth="9.140625" defaultRowHeight="15" x14ac:dyDescent="0.25"/>
  <cols>
    <col min="1" max="8" width="18" style="14" customWidth="1"/>
  </cols>
  <sheetData>
    <row r="1" spans="1:8" ht="21" customHeight="1" x14ac:dyDescent="0.35">
      <c r="A1" s="17" t="s">
        <v>124</v>
      </c>
      <c r="B1" s="16"/>
      <c r="C1" s="16"/>
      <c r="D1" s="16"/>
      <c r="E1" s="16"/>
      <c r="F1" s="16"/>
      <c r="G1" s="16"/>
      <c r="H1" s="16"/>
    </row>
    <row r="3" spans="1:8" ht="15.75" customHeight="1" x14ac:dyDescent="0.25">
      <c r="A3" s="5" t="s">
        <v>125</v>
      </c>
    </row>
    <row r="4" spans="1:8" x14ac:dyDescent="0.25">
      <c r="A4" s="3" t="s">
        <v>126</v>
      </c>
      <c r="B4" s="3" t="s">
        <v>127</v>
      </c>
      <c r="C4" s="3" t="s">
        <v>22</v>
      </c>
      <c r="D4" s="3" t="s">
        <v>24</v>
      </c>
      <c r="E4" s="3" t="s">
        <v>26</v>
      </c>
      <c r="F4" s="3" t="s">
        <v>28</v>
      </c>
      <c r="G4" s="3" t="s">
        <v>128</v>
      </c>
      <c r="H4" s="3" t="s">
        <v>129</v>
      </c>
    </row>
    <row r="5" spans="1:8" x14ac:dyDescent="0.25">
      <c r="A5" s="6" t="s">
        <v>130</v>
      </c>
      <c r="B5" s="7">
        <f>COUNTA('01_auth_users'!A2:A1000)</f>
        <v>49</v>
      </c>
      <c r="C5" s="7">
        <f>COUNTIF('01_auth_users'!I2:I1000,"Pasa")</f>
        <v>36</v>
      </c>
      <c r="D5" s="7">
        <f>COUNTIF('01_auth_users'!I2:I1000,"Falla")</f>
        <v>3</v>
      </c>
      <c r="E5" s="7">
        <f>COUNTIF('01_auth_users'!I2:I1000,"Bloqueado")</f>
        <v>0</v>
      </c>
      <c r="F5" s="7">
        <f>COUNTIF('01_auth_users'!I2:I1000,"Pendiente")+COUNTBLANK('01_auth_users'!I2:I1000)-COUNTBLANK('01_auth_users'!A2:A1000)</f>
        <v>10</v>
      </c>
      <c r="G5" s="8">
        <f t="shared" ref="G5:G23" si="0">IF(B5=0,0,C5/B5)</f>
        <v>0.73469387755102045</v>
      </c>
      <c r="H5" s="7">
        <f>COUNTIFS('01_auth_users'!G2:G1000,"Crítica",'01_auth_users'!I2:I1000,"Falla")</f>
        <v>0</v>
      </c>
    </row>
    <row r="6" spans="1:8" x14ac:dyDescent="0.25">
      <c r="A6" s="6" t="s">
        <v>131</v>
      </c>
      <c r="B6" s="7">
        <f>COUNTA('02_specialists'!A2:A1000)</f>
        <v>44</v>
      </c>
      <c r="C6" s="7">
        <f>COUNTIF('02_specialists'!I2:I1000,"Pasa")</f>
        <v>17</v>
      </c>
      <c r="D6" s="7">
        <f>COUNTIF('02_specialists'!I2:I1000,"Falla")</f>
        <v>1</v>
      </c>
      <c r="E6" s="7">
        <f>COUNTIF('02_specialists'!I2:I1000,"Bloqueado")</f>
        <v>1</v>
      </c>
      <c r="F6" s="7">
        <f>COUNTIF('02_specialists'!I2:I1000,"Pendiente")+COUNTBLANK('02_specialists'!I2:I1000)-COUNTBLANK('02_specialists'!A2:A1000)</f>
        <v>25</v>
      </c>
      <c r="G6" s="8">
        <f t="shared" si="0"/>
        <v>0.38636363636363635</v>
      </c>
      <c r="H6" s="7">
        <f>COUNTIFS('02_specialists'!G2:G1000,"Crítica",'02_specialists'!I2:I1000,"Falla")</f>
        <v>0</v>
      </c>
    </row>
    <row r="7" spans="1:8" x14ac:dyDescent="0.25">
      <c r="A7" s="6" t="s">
        <v>132</v>
      </c>
      <c r="B7" s="7">
        <f>COUNTA('03_admin_config'!A2:A1000)</f>
        <v>29</v>
      </c>
      <c r="C7" s="7">
        <f>COUNTIF('03_admin_config'!I2:I1000,"Pasa")</f>
        <v>0</v>
      </c>
      <c r="D7" s="7">
        <f>COUNTIF('03_admin_config'!I2:I1000,"Falla")</f>
        <v>0</v>
      </c>
      <c r="E7" s="7">
        <f>COUNTIF('03_admin_config'!I2:I1000,"Bloqueado")</f>
        <v>0</v>
      </c>
      <c r="F7" s="7">
        <f>COUNTIF('03_admin_config'!I2:I1000,"Pendiente")+COUNTBLANK('03_admin_config'!I2:I1000)-COUNTBLANK('03_admin_config'!A2:A1000)</f>
        <v>29</v>
      </c>
      <c r="G7" s="8">
        <f t="shared" si="0"/>
        <v>0</v>
      </c>
      <c r="H7" s="7">
        <f>COUNTIFS('03_admin_config'!G2:G1000,"Crítica",'03_admin_config'!I2:I1000,"Falla")</f>
        <v>0</v>
      </c>
    </row>
    <row r="8" spans="1:8" x14ac:dyDescent="0.25">
      <c r="A8" s="6" t="s">
        <v>133</v>
      </c>
      <c r="B8" s="7">
        <f>COUNTA('04_admin_users'!A2:A1000)</f>
        <v>19</v>
      </c>
      <c r="C8" s="7">
        <f>COUNTIF('04_admin_users'!I2:I1000,"Pasa")</f>
        <v>0</v>
      </c>
      <c r="D8" s="7">
        <f>COUNTIF('04_admin_users'!I2:I1000,"Falla")</f>
        <v>0</v>
      </c>
      <c r="E8" s="7">
        <f>COUNTIF('04_admin_users'!I2:I1000,"Bloqueado")</f>
        <v>0</v>
      </c>
      <c r="F8" s="7">
        <f>COUNTIF('04_admin_users'!I2:I1000,"Pendiente")+COUNTBLANK('04_admin_users'!I2:I1000)-COUNTBLANK('04_admin_users'!A2:A1000)</f>
        <v>19</v>
      </c>
      <c r="G8" s="8">
        <f t="shared" si="0"/>
        <v>0</v>
      </c>
      <c r="H8" s="7">
        <f>COUNTIFS('04_admin_users'!G2:G1000,"Crítica",'04_admin_users'!I2:I1000,"Falla")</f>
        <v>0</v>
      </c>
    </row>
    <row r="9" spans="1:8" x14ac:dyDescent="0.25">
      <c r="A9" s="6" t="s">
        <v>134</v>
      </c>
      <c r="B9" s="7">
        <f>COUNTA('05_catalog_services'!A2:A1000)</f>
        <v>27</v>
      </c>
      <c r="C9" s="7">
        <f>COUNTIF('05_catalog_services'!I2:I1000,"Pasa")</f>
        <v>0</v>
      </c>
      <c r="D9" s="7">
        <f>COUNTIF('05_catalog_services'!I2:I1000,"Falla")</f>
        <v>0</v>
      </c>
      <c r="E9" s="7">
        <f>COUNTIF('05_catalog_services'!I2:I1000,"Bloqueado")</f>
        <v>0</v>
      </c>
      <c r="F9" s="7">
        <f>COUNTIF('05_catalog_services'!I2:I1000,"Pendiente")+COUNTBLANK('05_catalog_services'!I2:I1000)-COUNTBLANK('05_catalog_services'!A2:A1000)</f>
        <v>27</v>
      </c>
      <c r="G9" s="8">
        <f t="shared" si="0"/>
        <v>0</v>
      </c>
      <c r="H9" s="7">
        <f>COUNTIFS('05_catalog_services'!G2:G1000,"Crítica",'05_catalog_services'!I2:I1000,"Falla")</f>
        <v>0</v>
      </c>
    </row>
    <row r="10" spans="1:8" x14ac:dyDescent="0.25">
      <c r="A10" s="6" t="s">
        <v>135</v>
      </c>
      <c r="B10" s="7">
        <f>COUNTA('06_marketplace_citas'!A2:A1000)</f>
        <v>31</v>
      </c>
      <c r="C10" s="7">
        <f>COUNTIF('06_marketplace_citas'!I2:I1000,"Pasa")</f>
        <v>0</v>
      </c>
      <c r="D10" s="7">
        <f>COUNTIF('06_marketplace_citas'!I2:I1000,"Falla")</f>
        <v>0</v>
      </c>
      <c r="E10" s="7">
        <f>COUNTIF('06_marketplace_citas'!I2:I1000,"Bloqueado")</f>
        <v>0</v>
      </c>
      <c r="F10" s="7">
        <f>COUNTIF('06_marketplace_citas'!I2:I1000,"Pendiente")+COUNTBLANK('06_marketplace_citas'!I2:I1000)-COUNTBLANK('06_marketplace_citas'!A2:A1000)</f>
        <v>21</v>
      </c>
      <c r="G10" s="8">
        <f t="shared" si="0"/>
        <v>0</v>
      </c>
      <c r="H10" s="7">
        <f>COUNTIFS('06_marketplace_citas'!G2:G1000,"Crítica",'06_marketplace_citas'!I2:I1000,"Falla")</f>
        <v>0</v>
      </c>
    </row>
    <row r="11" spans="1:8" x14ac:dyDescent="0.25">
      <c r="A11" s="6" t="s">
        <v>136</v>
      </c>
      <c r="B11" s="7">
        <f>COUNTA('07_patients_compliance'!A2:A1000)</f>
        <v>31</v>
      </c>
      <c r="C11" s="7">
        <f>COUNTIF('07_patients_compliance'!I2:I1000,"Pasa")</f>
        <v>0</v>
      </c>
      <c r="D11" s="7">
        <f>COUNTIF('07_patients_compliance'!I2:I1000,"Falla")</f>
        <v>0</v>
      </c>
      <c r="E11" s="7">
        <f>COUNTIF('07_patients_compliance'!I2:I1000,"Bloqueado")</f>
        <v>0</v>
      </c>
      <c r="F11" s="7">
        <f>COUNTIF('07_patients_compliance'!I2:I1000,"Pendiente")+COUNTBLANK('07_patients_compliance'!I2:I1000)-COUNTBLANK('07_patients_compliance'!A2:A1000)</f>
        <v>31</v>
      </c>
      <c r="G11" s="8">
        <f t="shared" si="0"/>
        <v>0</v>
      </c>
      <c r="H11" s="7">
        <f>COUNTIFS('07_patients_compliance'!G2:G1000,"Crítica",'07_patients_compliance'!I2:I1000,"Falla")</f>
        <v>0</v>
      </c>
    </row>
    <row r="12" spans="1:8" x14ac:dyDescent="0.25">
      <c r="A12" s="6" t="s">
        <v>137</v>
      </c>
      <c r="B12" s="7">
        <f>COUNTA('08_payments_stripe'!A2:A1000)</f>
        <v>23</v>
      </c>
      <c r="C12" s="7">
        <f>COUNTIF('08_payments_stripe'!I2:I1000,"Pasa")</f>
        <v>0</v>
      </c>
      <c r="D12" s="7">
        <f>COUNTIF('08_payments_stripe'!I2:I1000,"Falla")</f>
        <v>0</v>
      </c>
      <c r="E12" s="7">
        <f>COUNTIF('08_payments_stripe'!I2:I1000,"Bloqueado")</f>
        <v>0</v>
      </c>
      <c r="F12" s="7">
        <f>COUNTIF('08_payments_stripe'!I2:I1000,"Pendiente")+COUNTBLANK('08_payments_stripe'!I2:I1000)-COUNTBLANK('08_payments_stripe'!A2:A1000)</f>
        <v>23</v>
      </c>
      <c r="G12" s="8">
        <f t="shared" si="0"/>
        <v>0</v>
      </c>
      <c r="H12" s="7">
        <f>COUNTIFS('08_payments_stripe'!G2:G1000,"Crítica",'08_payments_stripe'!I2:I1000,"Falla")</f>
        <v>0</v>
      </c>
    </row>
    <row r="13" spans="1:8" x14ac:dyDescent="0.25">
      <c r="A13" s="6" t="s">
        <v>138</v>
      </c>
      <c r="B13" s="7">
        <f>COUNTA('09_treatment_execution'!A2:A1000)</f>
        <v>33</v>
      </c>
      <c r="C13" s="7">
        <f>COUNTIF('09_treatment_execution'!I2:I1000,"Pasa")</f>
        <v>0</v>
      </c>
      <c r="D13" s="7">
        <f>COUNTIF('09_treatment_execution'!I2:I1000,"Falla")</f>
        <v>0</v>
      </c>
      <c r="E13" s="7">
        <f>COUNTIF('09_treatment_execution'!I2:I1000,"Bloqueado")</f>
        <v>0</v>
      </c>
      <c r="F13" s="7">
        <f>COUNTIF('09_treatment_execution'!I2:I1000,"Pendiente")+COUNTBLANK('09_treatment_execution'!I2:I1000)-COUNTBLANK('09_treatment_execution'!A2:A1000)</f>
        <v>33</v>
      </c>
      <c r="G13" s="8">
        <f t="shared" si="0"/>
        <v>0</v>
      </c>
      <c r="H13" s="7">
        <f>COUNTIFS('09_treatment_execution'!G2:G1000,"Crítica",'09_treatment_execution'!I2:I1000,"Falla")</f>
        <v>0</v>
      </c>
    </row>
    <row r="14" spans="1:8" x14ac:dyDescent="0.25">
      <c r="A14" s="6" t="s">
        <v>139</v>
      </c>
      <c r="B14" s="7">
        <f>COUNTA('10_treatment_photos'!A2:A1000)</f>
        <v>20</v>
      </c>
      <c r="C14" s="7">
        <f>COUNTIF('10_treatment_photos'!I2:I1000,"Pasa")</f>
        <v>0</v>
      </c>
      <c r="D14" s="7">
        <f>COUNTIF('10_treatment_photos'!I2:I1000,"Falla")</f>
        <v>0</v>
      </c>
      <c r="E14" s="7">
        <f>COUNTIF('10_treatment_photos'!I2:I1000,"Bloqueado")</f>
        <v>0</v>
      </c>
      <c r="F14" s="7">
        <f>COUNTIF('10_treatment_photos'!I2:I1000,"Pendiente")+COUNTBLANK('10_treatment_photos'!I2:I1000)-COUNTBLANK('10_treatment_photos'!A2:A1000)</f>
        <v>20</v>
      </c>
      <c r="G14" s="8">
        <f t="shared" si="0"/>
        <v>0</v>
      </c>
      <c r="H14" s="7">
        <f>COUNTIFS('10_treatment_photos'!G2:G1000,"Crítica",'10_treatment_photos'!I2:I1000,"Falla")</f>
        <v>0</v>
      </c>
    </row>
    <row r="15" spans="1:8" x14ac:dyDescent="0.25">
      <c r="A15" s="6" t="s">
        <v>140</v>
      </c>
      <c r="B15" s="7">
        <f>COUNTA('12_solicitudes_reserva'!A2:A1000)</f>
        <v>14</v>
      </c>
      <c r="C15" s="7">
        <f>COUNTIF('12_solicitudes_reserva'!I2:I1000,"Pasa")</f>
        <v>0</v>
      </c>
      <c r="D15" s="7">
        <f>COUNTIF('12_solicitudes_reserva'!I2:I1000,"Falla")</f>
        <v>0</v>
      </c>
      <c r="E15" s="7">
        <f>COUNTIF('12_solicitudes_reserva'!I2:I1000,"Bloqueado")</f>
        <v>0</v>
      </c>
      <c r="F15" s="7">
        <f>COUNTIF('12_solicitudes_reserva'!I2:I1000,"Pendiente")+COUNTBLANK('12_solicitudes_reserva'!I2:I1000)-COUNTBLANK('12_solicitudes_reserva'!A2:A1000)</f>
        <v>0</v>
      </c>
      <c r="G15" s="8">
        <f t="shared" si="0"/>
        <v>0</v>
      </c>
      <c r="H15" s="7">
        <f>COUNTIFS('12_solicitudes_reserva'!G2:G1000,"Crítica",'12_solicitudes_reserva'!I2:I1000,"Falla")</f>
        <v>0</v>
      </c>
    </row>
    <row r="16" spans="1:8" x14ac:dyDescent="0.25">
      <c r="A16" s="6" t="s">
        <v>141</v>
      </c>
      <c r="B16" s="7">
        <f>COUNTA('13_admin_dashboard'!A2:A1000)</f>
        <v>11</v>
      </c>
      <c r="C16" s="7">
        <f>COUNTIF('13_admin_dashboard'!I2:I1000,"Pasa")</f>
        <v>0</v>
      </c>
      <c r="D16" s="7">
        <f>COUNTIF('13_admin_dashboard'!I2:I1000,"Falla")</f>
        <v>0</v>
      </c>
      <c r="E16" s="7">
        <f>COUNTIF('13_admin_dashboard'!I2:I1000,"Bloqueado")</f>
        <v>0</v>
      </c>
      <c r="F16" s="7">
        <f>COUNTIF('13_admin_dashboard'!I2:I1000,"Pendiente")+COUNTBLANK('13_admin_dashboard'!I2:I1000)-COUNTBLANK('13_admin_dashboard'!A2:A1000)</f>
        <v>11</v>
      </c>
      <c r="G16" s="8">
        <f t="shared" si="0"/>
        <v>0</v>
      </c>
      <c r="H16" s="7">
        <f>COUNTIFS('13_admin_dashboard'!G2:G1000,"Crítica",'13_admin_dashboard'!I2:I1000,"Falla")</f>
        <v>0</v>
      </c>
    </row>
    <row r="17" spans="1:8" x14ac:dyDescent="0.25">
      <c r="A17" s="6" t="s">
        <v>142</v>
      </c>
      <c r="B17" s="7">
        <f>COUNTA('14_Notificaciones'!A2:A1000)</f>
        <v>15</v>
      </c>
      <c r="C17" s="7">
        <f>COUNTIF('14_Notificaciones'!I2:I1000,"Pasa")</f>
        <v>0</v>
      </c>
      <c r="D17" s="7">
        <f>COUNTIF('14_Notificaciones'!I2:I1000,"Falla")</f>
        <v>0</v>
      </c>
      <c r="E17" s="7">
        <f>COUNTIF('14_Notificaciones'!I2:I1000,"Bloqueado")</f>
        <v>0</v>
      </c>
      <c r="F17" s="7">
        <f>COUNTIF('14_Notificaciones'!I2:I1000,"Pendiente")+COUNTBLANK('14_Notificaciones'!I2:I1000)-COUNTBLANK('14_Notificaciones'!A2:A1000)</f>
        <v>15</v>
      </c>
      <c r="G17" s="8">
        <f t="shared" si="0"/>
        <v>0</v>
      </c>
      <c r="H17" s="7">
        <f>COUNTIFS('14_Notificaciones'!G2:G1000,"Crítica",'14_Notificaciones'!I2:I1000,"Falla")</f>
        <v>0</v>
      </c>
    </row>
    <row r="18" spans="1:8" x14ac:dyDescent="0.25">
      <c r="A18" s="6" t="s">
        <v>143</v>
      </c>
      <c r="B18" s="7">
        <f>COUNTA('15_Calificaciones'!A2:A1000)</f>
        <v>13</v>
      </c>
      <c r="C18" s="7">
        <f>COUNTIF('15_Calificaciones'!I2:I1000,"Pasa")</f>
        <v>0</v>
      </c>
      <c r="D18" s="7">
        <f>COUNTIF('15_Calificaciones'!I2:I1000,"Falla")</f>
        <v>0</v>
      </c>
      <c r="E18" s="7">
        <f>COUNTIF('15_Calificaciones'!I2:I1000,"Bloqueado")</f>
        <v>0</v>
      </c>
      <c r="F18" s="7">
        <f>COUNTIF('15_Calificaciones'!I2:I1000,"Pendiente")+COUNTBLANK('15_Calificaciones'!I2:I1000)-COUNTBLANK('15_Calificaciones'!A2:A1000)</f>
        <v>13</v>
      </c>
      <c r="G18" s="8">
        <f t="shared" si="0"/>
        <v>0</v>
      </c>
      <c r="H18" s="7">
        <f>COUNTIFS('15_Calificaciones'!G2:G1000,"Crítica",'15_Calificaciones'!I2:I1000,"Falla")</f>
        <v>0</v>
      </c>
    </row>
    <row r="19" spans="1:8" x14ac:dyDescent="0.25">
      <c r="A19" s="6" t="s">
        <v>144</v>
      </c>
      <c r="B19" s="7">
        <f>COUNTA('16_Liquidaciones'!A2:A1000)</f>
        <v>18</v>
      </c>
      <c r="C19" s="7">
        <f>COUNTIF('16_Liquidaciones'!I2:I1000,"Pasa")</f>
        <v>0</v>
      </c>
      <c r="D19" s="7">
        <f>COUNTIF('16_Liquidaciones'!I2:I1000,"Falla")</f>
        <v>0</v>
      </c>
      <c r="E19" s="7">
        <f>COUNTIF('16_Liquidaciones'!I2:I1000,"Bloqueado")</f>
        <v>0</v>
      </c>
      <c r="F19" s="7">
        <f>COUNTIF('16_Liquidaciones'!I2:I1000,"Pendiente")+COUNTBLANK('16_Liquidaciones'!I2:I1000)-COUNTBLANK('16_Liquidaciones'!A2:A1000)</f>
        <v>18</v>
      </c>
      <c r="G19" s="8">
        <f t="shared" si="0"/>
        <v>0</v>
      </c>
      <c r="H19" s="7">
        <f>COUNTIFS('16_Liquidaciones'!G2:G1000,"Crítica",'16_Liquidaciones'!I2:I1000,"Falla")</f>
        <v>0</v>
      </c>
    </row>
    <row r="20" spans="1:8" x14ac:dyDescent="0.25">
      <c r="A20" s="6" t="s">
        <v>145</v>
      </c>
      <c r="B20" s="7">
        <f>COUNTA('17_Historial_Liq'!A2:A1000)</f>
        <v>8</v>
      </c>
      <c r="C20" s="7">
        <f>COUNTIF('17_Historial_Liq'!I2:I1000,"Pasa")</f>
        <v>0</v>
      </c>
      <c r="D20" s="7">
        <f>COUNTIF('17_Historial_Liq'!I2:I1000,"Falla")</f>
        <v>0</v>
      </c>
      <c r="E20" s="7">
        <f>COUNTIF('17_Historial_Liq'!I2:I1000,"Bloqueado")</f>
        <v>0</v>
      </c>
      <c r="F20" s="7">
        <f>COUNTIF('17_Historial_Liq'!I2:I1000,"Pendiente")+COUNTBLANK('17_Historial_Liq'!I2:I1000)-COUNTBLANK('17_Historial_Liq'!A2:A1000)</f>
        <v>8</v>
      </c>
      <c r="G20" s="8">
        <f t="shared" si="0"/>
        <v>0</v>
      </c>
      <c r="H20" s="7">
        <f>COUNTIFS('17_Historial_Liq'!G2:G1000,"Crítica",'17_Historial_Liq'!I2:I1000,"Falla")</f>
        <v>0</v>
      </c>
    </row>
    <row r="21" spans="1:8" x14ac:dyDescent="0.25">
      <c r="A21" s="6" t="s">
        <v>146</v>
      </c>
      <c r="B21" s="7">
        <f>COUNTA('18_Conciliacion'!A2:A1000)</f>
        <v>12</v>
      </c>
      <c r="C21" s="7">
        <f>COUNTIF('18_Conciliacion'!I2:I1000,"Pasa")</f>
        <v>0</v>
      </c>
      <c r="D21" s="7">
        <f>COUNTIF('18_Conciliacion'!I2:I1000,"Falla")</f>
        <v>0</v>
      </c>
      <c r="E21" s="7">
        <f>COUNTIF('18_Conciliacion'!I2:I1000,"Bloqueado")</f>
        <v>0</v>
      </c>
      <c r="F21" s="7">
        <f>COUNTIF('18_Conciliacion'!I2:I1000,"Pendiente")+COUNTBLANK('18_Conciliacion'!I2:I1000)-COUNTBLANK('18_Conciliacion'!A2:A1000)</f>
        <v>12</v>
      </c>
      <c r="G21" s="8">
        <f t="shared" si="0"/>
        <v>0</v>
      </c>
      <c r="H21" s="7">
        <f>COUNTIFS('18_Conciliacion'!G2:G1000,"Crítica",'18_Conciliacion'!I2:I1000,"Falla")</f>
        <v>0</v>
      </c>
    </row>
    <row r="22" spans="1:8" x14ac:dyDescent="0.25">
      <c r="A22" s="6" t="s">
        <v>147</v>
      </c>
      <c r="B22" s="7">
        <f>COUNTA('19_Sesion_Web'!A2:A1000)</f>
        <v>6</v>
      </c>
      <c r="C22" s="7">
        <f>COUNTIF('19_Sesion_Web'!I2:I1000,"Pasa")</f>
        <v>0</v>
      </c>
      <c r="D22" s="7">
        <f>COUNTIF('19_Sesion_Web'!I2:I1000,"Falla")</f>
        <v>0</v>
      </c>
      <c r="E22" s="7">
        <f>COUNTIF('19_Sesion_Web'!I2:I1000,"Bloqueado")</f>
        <v>0</v>
      </c>
      <c r="F22" s="7">
        <f>COUNTIF('19_Sesion_Web'!I2:I1000,"Pendiente")+COUNTBLANK('19_Sesion_Web'!I2:I1000)-COUNTBLANK('19_Sesion_Web'!A2:A1000)</f>
        <v>6</v>
      </c>
      <c r="G22" s="8">
        <f t="shared" si="0"/>
        <v>0</v>
      </c>
      <c r="H22" s="7">
        <f>COUNTIFS('19_Sesion_Web'!G2:G1000,"Crítica",'19_Sesion_Web'!I2:I1000,"Falla")</f>
        <v>0</v>
      </c>
    </row>
    <row r="23" spans="1:8" x14ac:dyDescent="0.25">
      <c r="A23" s="1" t="s">
        <v>148</v>
      </c>
      <c r="B23" s="9">
        <f>SUM(B5:B22)</f>
        <v>403</v>
      </c>
      <c r="C23" s="9">
        <f>SUM(C5:C22)</f>
        <v>53</v>
      </c>
      <c r="D23" s="9">
        <f>SUM(D5:D22)</f>
        <v>4</v>
      </c>
      <c r="E23" s="9">
        <f>SUM(E5:E22)</f>
        <v>1</v>
      </c>
      <c r="F23" s="9">
        <f>SUM(F5:F22)</f>
        <v>321</v>
      </c>
      <c r="G23" s="10">
        <f t="shared" si="0"/>
        <v>0.13151364764267989</v>
      </c>
      <c r="H23" s="1">
        <f>SUM(H5:H22)</f>
        <v>0</v>
      </c>
    </row>
    <row r="25" spans="1:8" ht="15.75" customHeight="1" x14ac:dyDescent="0.25">
      <c r="A25" s="5" t="s">
        <v>149</v>
      </c>
    </row>
    <row r="26" spans="1:8" x14ac:dyDescent="0.25">
      <c r="A26" s="3" t="s">
        <v>150</v>
      </c>
      <c r="B26" s="3" t="s">
        <v>127</v>
      </c>
      <c r="C26" s="3" t="s">
        <v>22</v>
      </c>
      <c r="D26" s="3" t="s">
        <v>24</v>
      </c>
      <c r="E26" s="3" t="s">
        <v>26</v>
      </c>
      <c r="F26" s="3" t="s">
        <v>28</v>
      </c>
    </row>
    <row r="27" spans="1:8" x14ac:dyDescent="0.25">
      <c r="A27" s="6" t="s">
        <v>31</v>
      </c>
      <c r="B27" s="7">
        <f ca="1">SUMPRODUCT(COUNTIF(INDIRECT("'"&amp;$A$5:$A$22&amp;"'!G2:G1000"),"Crítica"))</f>
        <v>113</v>
      </c>
      <c r="C27" s="7">
        <f ca="1">SUMPRODUCT(COUNTIFS(INDIRECT("'"&amp;$A$5:$A$22&amp;"'!G2:G1000"),"Crítica",INDIRECT("'"&amp;$A$5:$A$22&amp;"'!I2:I1000"),"Pasa"))</f>
        <v>19</v>
      </c>
      <c r="D27" s="7">
        <f ca="1">SUMPRODUCT(COUNTIFS(INDIRECT("'"&amp;$A$5:$A$22&amp;"'!G2:G1000"),"Crítica",INDIRECT("'"&amp;$A$5:$A$22&amp;"'!I2:I1000"),"Falla"))</f>
        <v>0</v>
      </c>
      <c r="E27" s="7">
        <f ca="1">SUMPRODUCT(COUNTIFS(INDIRECT("'"&amp;$A$5:$A$22&amp;"'!G2:G1000"),"Crítica",INDIRECT("'"&amp;$A$5:$A$22&amp;"'!I2:I1000"),"Bloqueado"))</f>
        <v>0</v>
      </c>
      <c r="F27" s="7">
        <f ca="1">B27-C27-D27-E27</f>
        <v>94</v>
      </c>
    </row>
    <row r="28" spans="1:8" x14ac:dyDescent="0.25">
      <c r="A28" s="6" t="s">
        <v>33</v>
      </c>
      <c r="B28" s="7">
        <f ca="1">SUMPRODUCT(COUNTIF(INDIRECT("'"&amp;$A$5:$A$22&amp;"'!G2:G1000"),"Alta"))</f>
        <v>157</v>
      </c>
      <c r="C28" s="7">
        <f ca="1">SUMPRODUCT(COUNTIFS(INDIRECT("'"&amp;$A$5:$A$22&amp;"'!G2:G1000"),"Alta",INDIRECT("'"&amp;$A$5:$A$22&amp;"'!I2:I1000"),"Pasa"))</f>
        <v>18</v>
      </c>
      <c r="D28" s="7">
        <f ca="1">SUMPRODUCT(COUNTIFS(INDIRECT("'"&amp;$A$5:$A$22&amp;"'!G2:G1000"),"Alta",INDIRECT("'"&amp;$A$5:$A$22&amp;"'!I2:I1000"),"Falla"))</f>
        <v>2</v>
      </c>
      <c r="E28" s="7">
        <f ca="1">SUMPRODUCT(COUNTIFS(INDIRECT("'"&amp;$A$5:$A$22&amp;"'!G2:G1000"),"Alta",INDIRECT("'"&amp;$A$5:$A$22&amp;"'!I2:I1000"),"Bloqueado"))</f>
        <v>1</v>
      </c>
      <c r="F28" s="7">
        <f ca="1">B28-C28-D28-E28</f>
        <v>136</v>
      </c>
    </row>
    <row r="29" spans="1:8" x14ac:dyDescent="0.25">
      <c r="A29" s="6" t="s">
        <v>35</v>
      </c>
      <c r="B29" s="7">
        <f ca="1">SUMPRODUCT(COUNTIF(INDIRECT("'"&amp;$A$5:$A$22&amp;"'!G2:G1000"),"Media"))</f>
        <v>97</v>
      </c>
      <c r="C29" s="7">
        <f ca="1">SUMPRODUCT(COUNTIFS(INDIRECT("'"&amp;$A$5:$A$22&amp;"'!G2:G1000"),"Media",INDIRECT("'"&amp;$A$5:$A$22&amp;"'!I2:I1000"),"Pasa"))</f>
        <v>13</v>
      </c>
      <c r="D29" s="7">
        <f ca="1">SUMPRODUCT(COUNTIFS(INDIRECT("'"&amp;$A$5:$A$22&amp;"'!G2:G1000"),"Media",INDIRECT("'"&amp;$A$5:$A$22&amp;"'!I2:I1000"),"Falla"))</f>
        <v>2</v>
      </c>
      <c r="E29" s="7">
        <f ca="1">SUMPRODUCT(COUNTIFS(INDIRECT("'"&amp;$A$5:$A$22&amp;"'!G2:G1000"),"Media",INDIRECT("'"&amp;$A$5:$A$22&amp;"'!I2:I1000"),"Bloqueado"))</f>
        <v>0</v>
      </c>
      <c r="F29" s="7">
        <f ca="1">B29-C29-D29-E29</f>
        <v>82</v>
      </c>
    </row>
    <row r="30" spans="1:8" x14ac:dyDescent="0.25">
      <c r="A30" s="6" t="s">
        <v>37</v>
      </c>
      <c r="B30" s="7">
        <f ca="1">SUMPRODUCT(COUNTIF(INDIRECT("'"&amp;$A$5:$A$22&amp;"'!G2:G1000"),"Baja"))</f>
        <v>36</v>
      </c>
      <c r="C30" s="7">
        <f ca="1">SUMPRODUCT(COUNTIFS(INDIRECT("'"&amp;$A$5:$A$22&amp;"'!G2:G1000"),"Baja",INDIRECT("'"&amp;$A$5:$A$22&amp;"'!I2:I1000"),"Pasa"))</f>
        <v>3</v>
      </c>
      <c r="D30" s="7">
        <f ca="1">SUMPRODUCT(COUNTIFS(INDIRECT("'"&amp;$A$5:$A$22&amp;"'!G2:G1000"),"Baja",INDIRECT("'"&amp;$A$5:$A$22&amp;"'!I2:I1000"),"Falla"))</f>
        <v>0</v>
      </c>
      <c r="E30" s="7">
        <f ca="1">SUMPRODUCT(COUNTIFS(INDIRECT("'"&amp;$A$5:$A$22&amp;"'!G2:G1000"),"Baja",INDIRECT("'"&amp;$A$5:$A$22&amp;"'!I2:I1000"),"Bloqueado"))</f>
        <v>0</v>
      </c>
      <c r="F30" s="7">
        <f ca="1">B30-C30-D30-E30</f>
        <v>33</v>
      </c>
    </row>
    <row r="32" spans="1:8" ht="15.75" customHeight="1" x14ac:dyDescent="0.25">
      <c r="A32" s="5" t="s">
        <v>151</v>
      </c>
    </row>
    <row r="33" spans="1:2" x14ac:dyDescent="0.25">
      <c r="A33" t="s">
        <v>152</v>
      </c>
      <c r="B33">
        <f>B23</f>
        <v>403</v>
      </c>
    </row>
    <row r="34" spans="1:2" x14ac:dyDescent="0.25">
      <c r="A34" t="s">
        <v>153</v>
      </c>
      <c r="B34">
        <f>C23+D23+E23</f>
        <v>58</v>
      </c>
    </row>
    <row r="35" spans="1:2" x14ac:dyDescent="0.25">
      <c r="A35" t="s">
        <v>154</v>
      </c>
      <c r="B35" s="11">
        <f>IF(B33=0,0,B34/B33)</f>
        <v>0.14392059553349876</v>
      </c>
    </row>
    <row r="37" spans="1:2" ht="15.75" customHeight="1" x14ac:dyDescent="0.25">
      <c r="A37" s="5" t="s">
        <v>155</v>
      </c>
    </row>
    <row r="38" spans="1:2" x14ac:dyDescent="0.25">
      <c r="A38" t="s">
        <v>156</v>
      </c>
      <c r="B38" s="12">
        <f>H23</f>
        <v>0</v>
      </c>
    </row>
    <row r="39" spans="1:2" x14ac:dyDescent="0.25">
      <c r="A39" t="s">
        <v>157</v>
      </c>
      <c r="B39" s="1" t="str">
        <f>IF(B38=0,"LISTO PARA RELEASE","BLOQUEADO - Corregir fallas críticas")</f>
        <v>LISTO PARA RELEASE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"/>
  <sheetViews>
    <sheetView tabSelected="1" zoomScale="80" zoomScaleNormal="80" workbookViewId="0">
      <pane ySplit="1" topLeftCell="A4" activePane="bottomLeft" state="frozen"/>
      <selection pane="bottomLeft" activeCell="I49" sqref="I49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1.85546875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30" customHeight="1" x14ac:dyDescent="0.25">
      <c r="A2" s="4" t="s">
        <v>165</v>
      </c>
      <c r="B2" s="4" t="s">
        <v>166</v>
      </c>
      <c r="C2" s="4" t="s">
        <v>167</v>
      </c>
      <c r="D2" s="4" t="s">
        <v>168</v>
      </c>
      <c r="E2" s="4" t="s">
        <v>169</v>
      </c>
      <c r="F2" s="4" t="s">
        <v>170</v>
      </c>
      <c r="G2" s="4" t="s">
        <v>35</v>
      </c>
      <c r="H2" s="4" t="s">
        <v>40</v>
      </c>
      <c r="I2" s="4" t="s">
        <v>22</v>
      </c>
      <c r="J2" s="4"/>
    </row>
    <row r="3" spans="1:10" ht="45" customHeight="1" x14ac:dyDescent="0.25">
      <c r="A3" s="4" t="s">
        <v>171</v>
      </c>
      <c r="B3" s="4" t="s">
        <v>166</v>
      </c>
      <c r="C3" s="4" t="s">
        <v>172</v>
      </c>
      <c r="D3" s="4" t="s">
        <v>168</v>
      </c>
      <c r="E3" s="4" t="s">
        <v>173</v>
      </c>
      <c r="F3" s="4" t="s">
        <v>174</v>
      </c>
      <c r="G3" s="4" t="s">
        <v>31</v>
      </c>
      <c r="H3" s="4" t="s">
        <v>40</v>
      </c>
      <c r="I3" s="4" t="s">
        <v>22</v>
      </c>
      <c r="J3" s="4"/>
    </row>
    <row r="4" spans="1:10" ht="150" customHeight="1" x14ac:dyDescent="0.25">
      <c r="A4" s="4" t="s">
        <v>175</v>
      </c>
      <c r="B4" s="4" t="s">
        <v>166</v>
      </c>
      <c r="C4" s="4" t="s">
        <v>176</v>
      </c>
      <c r="D4" s="4" t="s">
        <v>177</v>
      </c>
      <c r="E4" s="4" t="s">
        <v>178</v>
      </c>
      <c r="F4" s="4" t="s">
        <v>179</v>
      </c>
      <c r="G4" s="4" t="s">
        <v>31</v>
      </c>
      <c r="H4" s="4" t="s">
        <v>40</v>
      </c>
      <c r="I4" s="4" t="s">
        <v>22</v>
      </c>
      <c r="J4" s="4"/>
    </row>
    <row r="5" spans="1:10" ht="60" customHeight="1" x14ac:dyDescent="0.25">
      <c r="A5" s="4" t="s">
        <v>180</v>
      </c>
      <c r="B5" s="4" t="s">
        <v>166</v>
      </c>
      <c r="C5" s="4" t="s">
        <v>181</v>
      </c>
      <c r="D5" s="4" t="s">
        <v>182</v>
      </c>
      <c r="E5" s="4" t="s">
        <v>183</v>
      </c>
      <c r="F5" s="4" t="s">
        <v>184</v>
      </c>
      <c r="G5" s="4" t="s">
        <v>31</v>
      </c>
      <c r="H5" s="4" t="s">
        <v>40</v>
      </c>
      <c r="I5" s="4" t="s">
        <v>22</v>
      </c>
      <c r="J5" s="4"/>
    </row>
    <row r="6" spans="1:10" x14ac:dyDescent="0.25">
      <c r="A6" s="4" t="s">
        <v>185</v>
      </c>
      <c r="B6" s="4" t="s">
        <v>166</v>
      </c>
      <c r="C6" s="4" t="s">
        <v>186</v>
      </c>
      <c r="D6" s="4" t="s">
        <v>187</v>
      </c>
      <c r="E6" s="4" t="s">
        <v>188</v>
      </c>
      <c r="F6" s="4" t="s">
        <v>189</v>
      </c>
      <c r="G6" s="4" t="s">
        <v>31</v>
      </c>
      <c r="H6" s="4" t="s">
        <v>40</v>
      </c>
      <c r="I6" s="4" t="s">
        <v>22</v>
      </c>
      <c r="J6" s="4"/>
    </row>
    <row r="7" spans="1:10" x14ac:dyDescent="0.25">
      <c r="A7" s="4" t="s">
        <v>190</v>
      </c>
      <c r="B7" s="4" t="s">
        <v>166</v>
      </c>
      <c r="C7" s="4" t="s">
        <v>191</v>
      </c>
      <c r="D7" s="4" t="s">
        <v>192</v>
      </c>
      <c r="E7" s="4" t="s">
        <v>193</v>
      </c>
      <c r="F7" s="4" t="s">
        <v>194</v>
      </c>
      <c r="G7" s="4" t="s">
        <v>31</v>
      </c>
      <c r="H7" s="4" t="s">
        <v>40</v>
      </c>
      <c r="I7" s="4" t="s">
        <v>22</v>
      </c>
      <c r="J7" s="4"/>
    </row>
    <row r="8" spans="1:10" ht="30" customHeight="1" x14ac:dyDescent="0.25">
      <c r="A8" s="4" t="s">
        <v>195</v>
      </c>
      <c r="B8" s="4" t="s">
        <v>166</v>
      </c>
      <c r="C8" s="4" t="s">
        <v>196</v>
      </c>
      <c r="D8" s="4" t="s">
        <v>197</v>
      </c>
      <c r="E8" s="4" t="s">
        <v>198</v>
      </c>
      <c r="F8" s="4" t="s">
        <v>199</v>
      </c>
      <c r="G8" s="4" t="s">
        <v>33</v>
      </c>
      <c r="H8" s="4" t="s">
        <v>40</v>
      </c>
      <c r="I8" s="4" t="s">
        <v>22</v>
      </c>
      <c r="J8" s="4"/>
    </row>
    <row r="9" spans="1:10" ht="30" customHeight="1" x14ac:dyDescent="0.25">
      <c r="A9" s="4" t="s">
        <v>200</v>
      </c>
      <c r="B9" s="4" t="s">
        <v>166</v>
      </c>
      <c r="C9" s="4" t="s">
        <v>201</v>
      </c>
      <c r="D9" s="4" t="s">
        <v>202</v>
      </c>
      <c r="E9" s="4" t="s">
        <v>203</v>
      </c>
      <c r="F9" s="4" t="s">
        <v>204</v>
      </c>
      <c r="G9" s="4" t="s">
        <v>33</v>
      </c>
      <c r="H9" s="4" t="s">
        <v>40</v>
      </c>
      <c r="I9" s="4" t="s">
        <v>22</v>
      </c>
      <c r="J9" s="4" t="s">
        <v>2007</v>
      </c>
    </row>
    <row r="10" spans="1:10" ht="30" customHeight="1" x14ac:dyDescent="0.25">
      <c r="A10" s="4" t="s">
        <v>205</v>
      </c>
      <c r="B10" s="4" t="s">
        <v>166</v>
      </c>
      <c r="C10" s="4" t="s">
        <v>206</v>
      </c>
      <c r="D10" s="4" t="s">
        <v>202</v>
      </c>
      <c r="E10" s="4" t="s">
        <v>207</v>
      </c>
      <c r="F10" s="4" t="s">
        <v>208</v>
      </c>
      <c r="G10" s="4" t="s">
        <v>33</v>
      </c>
      <c r="H10" s="4" t="s">
        <v>40</v>
      </c>
      <c r="I10" s="4" t="s">
        <v>22</v>
      </c>
      <c r="J10" s="4" t="s">
        <v>2007</v>
      </c>
    </row>
    <row r="11" spans="1:10" ht="75" customHeight="1" x14ac:dyDescent="0.25">
      <c r="A11" s="4" t="s">
        <v>209</v>
      </c>
      <c r="B11" s="4" t="s">
        <v>166</v>
      </c>
      <c r="C11" s="4" t="s">
        <v>210</v>
      </c>
      <c r="D11" s="4" t="s">
        <v>182</v>
      </c>
      <c r="E11" s="4" t="s">
        <v>211</v>
      </c>
      <c r="F11" s="4" t="s">
        <v>212</v>
      </c>
      <c r="G11" s="4" t="s">
        <v>31</v>
      </c>
      <c r="H11" s="4" t="s">
        <v>40</v>
      </c>
      <c r="I11" s="4"/>
      <c r="J11" s="4"/>
    </row>
    <row r="12" spans="1:10" ht="45" customHeight="1" x14ac:dyDescent="0.25">
      <c r="A12" s="4" t="s">
        <v>213</v>
      </c>
      <c r="B12" s="4" t="s">
        <v>166</v>
      </c>
      <c r="C12" s="4" t="s">
        <v>214</v>
      </c>
      <c r="D12" s="4" t="s">
        <v>202</v>
      </c>
      <c r="E12" s="4" t="s">
        <v>215</v>
      </c>
      <c r="F12" s="4" t="s">
        <v>216</v>
      </c>
      <c r="G12" s="4" t="s">
        <v>33</v>
      </c>
      <c r="H12" s="4" t="s">
        <v>40</v>
      </c>
      <c r="I12" s="4" t="s">
        <v>22</v>
      </c>
      <c r="J12" s="4"/>
    </row>
    <row r="13" spans="1:10" ht="30" customHeight="1" x14ac:dyDescent="0.25">
      <c r="A13" s="4" t="s">
        <v>217</v>
      </c>
      <c r="B13" s="4" t="s">
        <v>166</v>
      </c>
      <c r="C13" s="4" t="s">
        <v>218</v>
      </c>
      <c r="D13" s="4" t="s">
        <v>168</v>
      </c>
      <c r="E13" s="4" t="s">
        <v>219</v>
      </c>
      <c r="F13" s="4" t="s">
        <v>220</v>
      </c>
      <c r="G13" s="4" t="s">
        <v>35</v>
      </c>
      <c r="H13" s="4" t="s">
        <v>40</v>
      </c>
      <c r="I13" s="4" t="s">
        <v>22</v>
      </c>
      <c r="J13" s="4"/>
    </row>
    <row r="14" spans="1:10" ht="30" customHeight="1" x14ac:dyDescent="0.25">
      <c r="A14" s="4" t="s">
        <v>221</v>
      </c>
      <c r="B14" s="4" t="s">
        <v>166</v>
      </c>
      <c r="C14" s="4" t="s">
        <v>222</v>
      </c>
      <c r="D14" s="4" t="s">
        <v>223</v>
      </c>
      <c r="E14" s="4" t="s">
        <v>224</v>
      </c>
      <c r="F14" s="4" t="s">
        <v>225</v>
      </c>
      <c r="G14" s="4" t="s">
        <v>33</v>
      </c>
      <c r="H14" s="4" t="s">
        <v>40</v>
      </c>
      <c r="I14" s="4" t="s">
        <v>22</v>
      </c>
      <c r="J14" s="4"/>
    </row>
    <row r="15" spans="1:10" x14ac:dyDescent="0.25">
      <c r="A15" s="4" t="s">
        <v>226</v>
      </c>
      <c r="B15" s="4" t="s">
        <v>166</v>
      </c>
      <c r="C15" s="4" t="s">
        <v>227</v>
      </c>
      <c r="D15" s="4" t="s">
        <v>223</v>
      </c>
      <c r="E15" s="4" t="s">
        <v>228</v>
      </c>
      <c r="F15" s="4" t="s">
        <v>229</v>
      </c>
      <c r="G15" s="4" t="s">
        <v>33</v>
      </c>
      <c r="H15" s="4" t="s">
        <v>40</v>
      </c>
      <c r="I15" s="4" t="s">
        <v>22</v>
      </c>
      <c r="J15" s="4"/>
    </row>
    <row r="16" spans="1:10" x14ac:dyDescent="0.25">
      <c r="A16" s="4" t="s">
        <v>230</v>
      </c>
      <c r="B16" s="4" t="s">
        <v>166</v>
      </c>
      <c r="C16" s="4" t="s">
        <v>231</v>
      </c>
      <c r="D16" s="4" t="s">
        <v>223</v>
      </c>
      <c r="E16" s="4" t="s">
        <v>232</v>
      </c>
      <c r="F16" s="4" t="s">
        <v>233</v>
      </c>
      <c r="G16" s="4" t="s">
        <v>35</v>
      </c>
      <c r="H16" s="4" t="s">
        <v>40</v>
      </c>
      <c r="I16" s="4" t="s">
        <v>22</v>
      </c>
      <c r="J16" s="4"/>
    </row>
    <row r="17" spans="1:10" ht="30" customHeight="1" x14ac:dyDescent="0.25">
      <c r="A17" s="4" t="s">
        <v>234</v>
      </c>
      <c r="B17" s="4" t="s">
        <v>166</v>
      </c>
      <c r="C17" s="4" t="s">
        <v>235</v>
      </c>
      <c r="D17" s="4" t="s">
        <v>236</v>
      </c>
      <c r="E17" s="4" t="s">
        <v>237</v>
      </c>
      <c r="F17" s="4" t="s">
        <v>238</v>
      </c>
      <c r="G17" s="4" t="s">
        <v>33</v>
      </c>
      <c r="H17" s="4" t="s">
        <v>40</v>
      </c>
      <c r="I17" s="4" t="s">
        <v>22</v>
      </c>
      <c r="J17" s="4"/>
    </row>
    <row r="18" spans="1:10" x14ac:dyDescent="0.25">
      <c r="A18" s="4" t="s">
        <v>239</v>
      </c>
      <c r="B18" s="4" t="s">
        <v>166</v>
      </c>
      <c r="C18" s="4" t="s">
        <v>240</v>
      </c>
      <c r="D18" s="4" t="s">
        <v>182</v>
      </c>
      <c r="E18" s="4" t="s">
        <v>241</v>
      </c>
      <c r="F18" s="4" t="s">
        <v>242</v>
      </c>
      <c r="G18" s="4" t="s">
        <v>33</v>
      </c>
      <c r="H18" s="4" t="s">
        <v>40</v>
      </c>
      <c r="I18" s="4" t="s">
        <v>22</v>
      </c>
      <c r="J18" s="4"/>
    </row>
    <row r="19" spans="1:10" x14ac:dyDescent="0.25">
      <c r="A19" s="4" t="s">
        <v>243</v>
      </c>
      <c r="B19" s="4" t="s">
        <v>166</v>
      </c>
      <c r="C19" s="4" t="s">
        <v>244</v>
      </c>
      <c r="D19" s="4" t="s">
        <v>245</v>
      </c>
      <c r="E19" s="4" t="s">
        <v>246</v>
      </c>
      <c r="F19" s="4" t="s">
        <v>247</v>
      </c>
      <c r="G19" s="4" t="s">
        <v>35</v>
      </c>
      <c r="H19" s="4" t="s">
        <v>40</v>
      </c>
      <c r="I19" s="4" t="s">
        <v>22</v>
      </c>
      <c r="J19" s="4"/>
    </row>
    <row r="20" spans="1:10" ht="30" customHeight="1" x14ac:dyDescent="0.25">
      <c r="A20" s="4" t="s">
        <v>248</v>
      </c>
      <c r="B20" s="4" t="s">
        <v>166</v>
      </c>
      <c r="C20" s="4" t="s">
        <v>249</v>
      </c>
      <c r="D20" s="4" t="s">
        <v>250</v>
      </c>
      <c r="E20" s="4" t="s">
        <v>251</v>
      </c>
      <c r="F20" s="4" t="s">
        <v>252</v>
      </c>
      <c r="G20" s="4" t="s">
        <v>33</v>
      </c>
      <c r="H20" s="4" t="s">
        <v>40</v>
      </c>
      <c r="I20" s="4" t="s">
        <v>28</v>
      </c>
      <c r="J20" s="4"/>
    </row>
    <row r="21" spans="1:10" ht="30" customHeight="1" x14ac:dyDescent="0.25">
      <c r="A21" s="4" t="s">
        <v>253</v>
      </c>
      <c r="B21" s="4" t="s">
        <v>166</v>
      </c>
      <c r="C21" s="4" t="s">
        <v>254</v>
      </c>
      <c r="D21" s="4" t="s">
        <v>202</v>
      </c>
      <c r="E21" s="4" t="s">
        <v>255</v>
      </c>
      <c r="F21" s="4" t="s">
        <v>256</v>
      </c>
      <c r="G21" s="4" t="s">
        <v>33</v>
      </c>
      <c r="H21" s="4" t="s">
        <v>40</v>
      </c>
      <c r="I21" s="4" t="s">
        <v>24</v>
      </c>
      <c r="J21" s="4" t="s">
        <v>2008</v>
      </c>
    </row>
    <row r="22" spans="1:10" x14ac:dyDescent="0.25">
      <c r="A22" s="4" t="s">
        <v>257</v>
      </c>
      <c r="B22" s="4" t="s">
        <v>166</v>
      </c>
      <c r="C22" s="4" t="s">
        <v>258</v>
      </c>
      <c r="D22" s="4" t="s">
        <v>202</v>
      </c>
      <c r="E22" s="4" t="s">
        <v>259</v>
      </c>
      <c r="F22" s="4" t="s">
        <v>229</v>
      </c>
      <c r="G22" s="4" t="s">
        <v>35</v>
      </c>
      <c r="H22" s="4" t="s">
        <v>40</v>
      </c>
      <c r="I22" s="4" t="s">
        <v>22</v>
      </c>
      <c r="J22" s="4"/>
    </row>
    <row r="23" spans="1:10" x14ac:dyDescent="0.25">
      <c r="A23" s="4" t="s">
        <v>260</v>
      </c>
      <c r="B23" s="4" t="s">
        <v>166</v>
      </c>
      <c r="C23" s="4" t="s">
        <v>261</v>
      </c>
      <c r="D23" s="4" t="s">
        <v>202</v>
      </c>
      <c r="E23" s="4" t="s">
        <v>262</v>
      </c>
      <c r="F23" s="4" t="s">
        <v>229</v>
      </c>
      <c r="G23" s="4" t="s">
        <v>35</v>
      </c>
      <c r="H23" s="4" t="s">
        <v>40</v>
      </c>
      <c r="I23" s="4" t="s">
        <v>22</v>
      </c>
      <c r="J23" s="4"/>
    </row>
    <row r="24" spans="1:10" ht="30" customHeight="1" x14ac:dyDescent="0.25">
      <c r="A24" s="4" t="s">
        <v>263</v>
      </c>
      <c r="B24" s="4" t="s">
        <v>166</v>
      </c>
      <c r="C24" s="4" t="s">
        <v>264</v>
      </c>
      <c r="D24" s="4" t="s">
        <v>265</v>
      </c>
      <c r="E24" s="4" t="s">
        <v>266</v>
      </c>
      <c r="F24" s="4" t="s">
        <v>229</v>
      </c>
      <c r="G24" s="4" t="s">
        <v>35</v>
      </c>
      <c r="H24" s="4" t="s">
        <v>40</v>
      </c>
      <c r="I24" s="4" t="s">
        <v>22</v>
      </c>
      <c r="J24" s="4"/>
    </row>
    <row r="25" spans="1:10" ht="30" customHeight="1" x14ac:dyDescent="0.25">
      <c r="A25" s="4" t="s">
        <v>267</v>
      </c>
      <c r="B25" s="4" t="s">
        <v>166</v>
      </c>
      <c r="C25" s="4" t="s">
        <v>268</v>
      </c>
      <c r="D25" s="4" t="s">
        <v>269</v>
      </c>
      <c r="E25" s="4" t="s">
        <v>270</v>
      </c>
      <c r="F25" s="4" t="s">
        <v>271</v>
      </c>
      <c r="G25" s="4" t="s">
        <v>35</v>
      </c>
      <c r="H25" s="4" t="s">
        <v>40</v>
      </c>
      <c r="I25" s="4" t="s">
        <v>22</v>
      </c>
      <c r="J25" s="4"/>
    </row>
    <row r="26" spans="1:10" x14ac:dyDescent="0.25">
      <c r="A26" s="4" t="s">
        <v>272</v>
      </c>
      <c r="B26" s="4" t="s">
        <v>166</v>
      </c>
      <c r="C26" s="4" t="s">
        <v>273</v>
      </c>
      <c r="D26" s="4" t="s">
        <v>168</v>
      </c>
      <c r="E26" s="4" t="s">
        <v>274</v>
      </c>
      <c r="F26" s="4" t="s">
        <v>275</v>
      </c>
      <c r="G26" s="4" t="s">
        <v>33</v>
      </c>
      <c r="H26" s="4" t="s">
        <v>40</v>
      </c>
      <c r="I26" s="4" t="s">
        <v>22</v>
      </c>
      <c r="J26" s="4"/>
    </row>
    <row r="27" spans="1:10" x14ac:dyDescent="0.25">
      <c r="A27" s="4" t="s">
        <v>276</v>
      </c>
      <c r="B27" s="4" t="s">
        <v>166</v>
      </c>
      <c r="C27" s="4" t="s">
        <v>277</v>
      </c>
      <c r="D27" s="4" t="s">
        <v>168</v>
      </c>
      <c r="E27" s="4" t="s">
        <v>278</v>
      </c>
      <c r="F27" s="4" t="s">
        <v>275</v>
      </c>
      <c r="G27" s="4" t="s">
        <v>31</v>
      </c>
      <c r="H27" s="4" t="s">
        <v>40</v>
      </c>
      <c r="I27" s="4" t="s">
        <v>22</v>
      </c>
      <c r="J27" s="4"/>
    </row>
    <row r="28" spans="1:10" x14ac:dyDescent="0.25">
      <c r="A28" s="4" t="s">
        <v>279</v>
      </c>
      <c r="B28" s="4" t="s">
        <v>166</v>
      </c>
      <c r="C28" s="4" t="s">
        <v>280</v>
      </c>
      <c r="D28" s="4" t="s">
        <v>281</v>
      </c>
      <c r="E28" s="4" t="s">
        <v>278</v>
      </c>
      <c r="F28" s="4" t="s">
        <v>282</v>
      </c>
      <c r="G28" s="4" t="s">
        <v>31</v>
      </c>
      <c r="H28" s="4" t="s">
        <v>40</v>
      </c>
      <c r="I28" s="4" t="s">
        <v>22</v>
      </c>
      <c r="J28" s="4"/>
    </row>
    <row r="29" spans="1:10" x14ac:dyDescent="0.25">
      <c r="A29" s="4" t="s">
        <v>283</v>
      </c>
      <c r="B29" s="4" t="s">
        <v>166</v>
      </c>
      <c r="C29" s="4" t="s">
        <v>284</v>
      </c>
      <c r="D29" s="4" t="s">
        <v>281</v>
      </c>
      <c r="E29" s="4" t="s">
        <v>285</v>
      </c>
      <c r="F29" s="4" t="s">
        <v>286</v>
      </c>
      <c r="G29" s="4" t="s">
        <v>31</v>
      </c>
      <c r="H29" s="4" t="s">
        <v>40</v>
      </c>
      <c r="I29" s="4" t="s">
        <v>22</v>
      </c>
      <c r="J29" s="4"/>
    </row>
    <row r="30" spans="1:10" x14ac:dyDescent="0.25">
      <c r="A30" s="4" t="s">
        <v>287</v>
      </c>
      <c r="B30" s="4" t="s">
        <v>166</v>
      </c>
      <c r="C30" s="4" t="s">
        <v>288</v>
      </c>
      <c r="D30" s="4" t="s">
        <v>289</v>
      </c>
      <c r="E30" s="4" t="s">
        <v>278</v>
      </c>
      <c r="F30" s="4" t="s">
        <v>290</v>
      </c>
      <c r="G30" s="4" t="s">
        <v>31</v>
      </c>
      <c r="H30" s="4" t="s">
        <v>40</v>
      </c>
      <c r="I30" s="4" t="s">
        <v>22</v>
      </c>
      <c r="J30" s="4"/>
    </row>
    <row r="31" spans="1:10" x14ac:dyDescent="0.25">
      <c r="A31" s="4" t="s">
        <v>291</v>
      </c>
      <c r="B31" s="4" t="s">
        <v>166</v>
      </c>
      <c r="C31" s="4" t="s">
        <v>292</v>
      </c>
      <c r="D31" s="4" t="s">
        <v>289</v>
      </c>
      <c r="E31" s="4" t="s">
        <v>293</v>
      </c>
      <c r="F31" s="4" t="s">
        <v>286</v>
      </c>
      <c r="G31" s="4" t="s">
        <v>33</v>
      </c>
      <c r="H31" s="4" t="s">
        <v>40</v>
      </c>
      <c r="I31" s="4" t="s">
        <v>28</v>
      </c>
      <c r="J31" s="4"/>
    </row>
    <row r="32" spans="1:10" ht="60" customHeight="1" x14ac:dyDescent="0.25">
      <c r="A32" s="4" t="s">
        <v>294</v>
      </c>
      <c r="B32" s="4" t="s">
        <v>166</v>
      </c>
      <c r="C32" s="4" t="s">
        <v>295</v>
      </c>
      <c r="D32" s="4" t="s">
        <v>202</v>
      </c>
      <c r="E32" s="4" t="s">
        <v>296</v>
      </c>
      <c r="F32" s="4" t="s">
        <v>297</v>
      </c>
      <c r="G32" s="4" t="s">
        <v>35</v>
      </c>
      <c r="H32" s="4" t="s">
        <v>40</v>
      </c>
      <c r="I32" s="4" t="s">
        <v>22</v>
      </c>
      <c r="J32" s="4"/>
    </row>
    <row r="33" spans="1:10" ht="30" customHeight="1" x14ac:dyDescent="0.25">
      <c r="A33" s="4" t="s">
        <v>298</v>
      </c>
      <c r="B33" s="4" t="s">
        <v>166</v>
      </c>
      <c r="C33" s="4" t="s">
        <v>299</v>
      </c>
      <c r="D33" s="4" t="s">
        <v>300</v>
      </c>
      <c r="E33" s="4" t="s">
        <v>301</v>
      </c>
      <c r="F33" s="4" t="s">
        <v>302</v>
      </c>
      <c r="G33" s="4" t="s">
        <v>31</v>
      </c>
      <c r="H33" s="4" t="s">
        <v>40</v>
      </c>
      <c r="I33" s="4" t="s">
        <v>22</v>
      </c>
      <c r="J33" s="4"/>
    </row>
    <row r="34" spans="1:10" x14ac:dyDescent="0.25">
      <c r="A34" s="4" t="s">
        <v>303</v>
      </c>
      <c r="B34" s="4" t="s">
        <v>166</v>
      </c>
      <c r="C34" s="4" t="s">
        <v>304</v>
      </c>
      <c r="D34" s="4" t="s">
        <v>305</v>
      </c>
      <c r="E34" s="4" t="s">
        <v>306</v>
      </c>
      <c r="F34" s="4" t="s">
        <v>307</v>
      </c>
      <c r="G34" s="4" t="s">
        <v>33</v>
      </c>
      <c r="H34" s="4" t="s">
        <v>40</v>
      </c>
      <c r="I34" s="4" t="s">
        <v>28</v>
      </c>
      <c r="J34" s="4"/>
    </row>
    <row r="35" spans="1:10" ht="60" customHeight="1" x14ac:dyDescent="0.25">
      <c r="A35" s="4" t="s">
        <v>308</v>
      </c>
      <c r="B35" s="4" t="s">
        <v>166</v>
      </c>
      <c r="C35" s="4" t="s">
        <v>309</v>
      </c>
      <c r="D35" s="4" t="s">
        <v>310</v>
      </c>
      <c r="E35" s="4" t="s">
        <v>311</v>
      </c>
      <c r="F35" s="4" t="s">
        <v>312</v>
      </c>
      <c r="G35" s="4" t="s">
        <v>33</v>
      </c>
      <c r="H35" s="4" t="s">
        <v>40</v>
      </c>
      <c r="I35" s="4" t="s">
        <v>24</v>
      </c>
      <c r="J35" s="4" t="s">
        <v>313</v>
      </c>
    </row>
    <row r="36" spans="1:10" ht="30" customHeight="1" x14ac:dyDescent="0.25">
      <c r="A36" s="4" t="s">
        <v>314</v>
      </c>
      <c r="B36" s="4" t="s">
        <v>166</v>
      </c>
      <c r="C36" s="4" t="s">
        <v>315</v>
      </c>
      <c r="D36" s="4" t="s">
        <v>168</v>
      </c>
      <c r="E36" s="4" t="s">
        <v>316</v>
      </c>
      <c r="F36" s="4" t="s">
        <v>317</v>
      </c>
      <c r="G36" s="4" t="s">
        <v>35</v>
      </c>
      <c r="H36" s="4" t="s">
        <v>40</v>
      </c>
      <c r="I36" s="4" t="s">
        <v>24</v>
      </c>
      <c r="J36" s="4"/>
    </row>
    <row r="37" spans="1:10" ht="45" customHeight="1" x14ac:dyDescent="0.25">
      <c r="A37" s="4" t="s">
        <v>318</v>
      </c>
      <c r="B37" s="4" t="s">
        <v>166</v>
      </c>
      <c r="C37" s="4" t="s">
        <v>319</v>
      </c>
      <c r="D37" s="4" t="s">
        <v>168</v>
      </c>
      <c r="E37" s="4" t="s">
        <v>320</v>
      </c>
      <c r="F37" s="4" t="s">
        <v>321</v>
      </c>
      <c r="G37" s="4" t="s">
        <v>35</v>
      </c>
      <c r="H37" s="4" t="s">
        <v>40</v>
      </c>
      <c r="I37" s="4" t="s">
        <v>22</v>
      </c>
      <c r="J37" s="4"/>
    </row>
    <row r="38" spans="1:10" ht="30" customHeight="1" x14ac:dyDescent="0.25">
      <c r="A38" s="4" t="s">
        <v>322</v>
      </c>
      <c r="B38" s="4" t="s">
        <v>166</v>
      </c>
      <c r="C38" s="4" t="s">
        <v>323</v>
      </c>
      <c r="D38" s="4" t="s">
        <v>202</v>
      </c>
      <c r="E38" s="4" t="s">
        <v>324</v>
      </c>
      <c r="F38" s="4" t="s">
        <v>325</v>
      </c>
      <c r="G38" s="4" t="s">
        <v>37</v>
      </c>
      <c r="H38" s="4" t="s">
        <v>40</v>
      </c>
      <c r="I38" s="4" t="s">
        <v>22</v>
      </c>
      <c r="J38" s="4"/>
    </row>
    <row r="39" spans="1:10" ht="30" customHeight="1" x14ac:dyDescent="0.25">
      <c r="A39" s="4" t="s">
        <v>326</v>
      </c>
      <c r="B39" s="4" t="s">
        <v>166</v>
      </c>
      <c r="C39" s="4" t="s">
        <v>327</v>
      </c>
      <c r="D39" s="4" t="s">
        <v>328</v>
      </c>
      <c r="E39" s="4" t="s">
        <v>329</v>
      </c>
      <c r="F39" s="4" t="s">
        <v>330</v>
      </c>
      <c r="G39" s="4" t="s">
        <v>35</v>
      </c>
      <c r="H39" s="4" t="s">
        <v>40</v>
      </c>
      <c r="I39" s="4"/>
      <c r="J39" s="4"/>
    </row>
    <row r="40" spans="1:10" ht="30" customHeight="1" x14ac:dyDescent="0.25">
      <c r="A40" s="4" t="s">
        <v>331</v>
      </c>
      <c r="B40" s="4" t="s">
        <v>166</v>
      </c>
      <c r="C40" s="4" t="s">
        <v>332</v>
      </c>
      <c r="D40" s="4" t="s">
        <v>333</v>
      </c>
      <c r="E40" s="4" t="s">
        <v>334</v>
      </c>
      <c r="F40" s="4" t="s">
        <v>335</v>
      </c>
      <c r="G40" s="4" t="s">
        <v>33</v>
      </c>
      <c r="H40" s="4" t="s">
        <v>40</v>
      </c>
      <c r="I40" s="4"/>
      <c r="J40" s="4"/>
    </row>
    <row r="41" spans="1:10" ht="105" customHeight="1" x14ac:dyDescent="0.25">
      <c r="A41" s="4" t="s">
        <v>336</v>
      </c>
      <c r="B41" s="4" t="s">
        <v>166</v>
      </c>
      <c r="C41" s="4" t="s">
        <v>337</v>
      </c>
      <c r="D41" s="4" t="s">
        <v>202</v>
      </c>
      <c r="E41" s="4" t="s">
        <v>338</v>
      </c>
      <c r="F41" s="4" t="s">
        <v>339</v>
      </c>
      <c r="G41" s="4" t="s">
        <v>35</v>
      </c>
      <c r="H41" s="4" t="s">
        <v>40</v>
      </c>
      <c r="I41" s="4" t="s">
        <v>22</v>
      </c>
      <c r="J41" s="4"/>
    </row>
    <row r="42" spans="1:10" ht="45" customHeight="1" x14ac:dyDescent="0.25">
      <c r="A42" s="4" t="s">
        <v>340</v>
      </c>
      <c r="B42" s="4" t="s">
        <v>166</v>
      </c>
      <c r="C42" s="4" t="s">
        <v>341</v>
      </c>
      <c r="D42" s="4" t="s">
        <v>342</v>
      </c>
      <c r="E42" s="4" t="s">
        <v>343</v>
      </c>
      <c r="F42" s="4" t="s">
        <v>344</v>
      </c>
      <c r="G42" s="4" t="s">
        <v>31</v>
      </c>
      <c r="H42" s="4" t="s">
        <v>40</v>
      </c>
      <c r="I42" s="4" t="s">
        <v>22</v>
      </c>
      <c r="J42" s="4"/>
    </row>
    <row r="43" spans="1:10" ht="30" customHeight="1" x14ac:dyDescent="0.25">
      <c r="A43" s="4" t="s">
        <v>345</v>
      </c>
      <c r="B43" s="4" t="s">
        <v>166</v>
      </c>
      <c r="C43" s="4" t="s">
        <v>346</v>
      </c>
      <c r="D43" s="4" t="s">
        <v>347</v>
      </c>
      <c r="E43" s="4" t="s">
        <v>251</v>
      </c>
      <c r="F43" s="4" t="s">
        <v>348</v>
      </c>
      <c r="G43" s="4" t="s">
        <v>33</v>
      </c>
      <c r="H43" s="4" t="s">
        <v>40</v>
      </c>
      <c r="I43" s="4" t="s">
        <v>22</v>
      </c>
      <c r="J43" s="4"/>
    </row>
    <row r="44" spans="1:10" ht="45" customHeight="1" x14ac:dyDescent="0.25">
      <c r="A44" s="4" t="s">
        <v>349</v>
      </c>
      <c r="B44" s="4" t="s">
        <v>166</v>
      </c>
      <c r="C44" s="4" t="s">
        <v>350</v>
      </c>
      <c r="D44" s="4" t="s">
        <v>351</v>
      </c>
      <c r="E44" s="4" t="s">
        <v>352</v>
      </c>
      <c r="F44" s="4" t="s">
        <v>353</v>
      </c>
      <c r="G44" s="4" t="s">
        <v>35</v>
      </c>
      <c r="H44" s="4" t="s">
        <v>40</v>
      </c>
      <c r="I44" s="4"/>
      <c r="J44" s="4"/>
    </row>
    <row r="45" spans="1:10" ht="30" customHeight="1" x14ac:dyDescent="0.25">
      <c r="A45" s="4" t="s">
        <v>354</v>
      </c>
      <c r="B45" s="4" t="s">
        <v>166</v>
      </c>
      <c r="C45" s="4" t="s">
        <v>355</v>
      </c>
      <c r="D45" s="4" t="s">
        <v>202</v>
      </c>
      <c r="E45" s="4" t="s">
        <v>356</v>
      </c>
      <c r="F45" s="4" t="s">
        <v>357</v>
      </c>
      <c r="G45" s="4" t="s">
        <v>35</v>
      </c>
      <c r="H45" s="4" t="s">
        <v>40</v>
      </c>
      <c r="I45" s="4"/>
      <c r="J45" s="4"/>
    </row>
    <row r="46" spans="1:10" ht="45" customHeight="1" x14ac:dyDescent="0.25">
      <c r="A46" s="4" t="s">
        <v>358</v>
      </c>
      <c r="B46" s="4" t="s">
        <v>166</v>
      </c>
      <c r="C46" s="4" t="s">
        <v>359</v>
      </c>
      <c r="D46" s="4" t="s">
        <v>202</v>
      </c>
      <c r="E46" s="4" t="s">
        <v>356</v>
      </c>
      <c r="F46" s="4" t="s">
        <v>360</v>
      </c>
      <c r="G46" s="4" t="s">
        <v>37</v>
      </c>
      <c r="H46" s="4" t="s">
        <v>40</v>
      </c>
      <c r="I46" s="4"/>
      <c r="J46" s="4"/>
    </row>
    <row r="47" spans="1:10" ht="45" customHeight="1" x14ac:dyDescent="0.25">
      <c r="A47" s="4" t="s">
        <v>361</v>
      </c>
      <c r="B47" s="4" t="s">
        <v>166</v>
      </c>
      <c r="C47" s="4" t="s">
        <v>362</v>
      </c>
      <c r="D47" s="4" t="s">
        <v>363</v>
      </c>
      <c r="E47" s="4" t="s">
        <v>364</v>
      </c>
      <c r="F47" s="4" t="s">
        <v>365</v>
      </c>
      <c r="G47" s="4" t="s">
        <v>33</v>
      </c>
      <c r="H47" s="4" t="s">
        <v>40</v>
      </c>
      <c r="I47" s="4" t="s">
        <v>22</v>
      </c>
      <c r="J47" s="4"/>
    </row>
    <row r="48" spans="1:10" ht="60" customHeight="1" x14ac:dyDescent="0.25">
      <c r="A48" s="4" t="s">
        <v>366</v>
      </c>
      <c r="B48" s="4" t="s">
        <v>166</v>
      </c>
      <c r="C48" s="4" t="s">
        <v>367</v>
      </c>
      <c r="D48" s="4" t="s">
        <v>368</v>
      </c>
      <c r="E48" s="4" t="s">
        <v>369</v>
      </c>
      <c r="F48" s="4" t="s">
        <v>370</v>
      </c>
      <c r="G48" s="4" t="s">
        <v>31</v>
      </c>
      <c r="H48" s="4" t="s">
        <v>40</v>
      </c>
      <c r="I48" s="4" t="s">
        <v>22</v>
      </c>
      <c r="J48" s="4"/>
    </row>
    <row r="49" spans="1:10" ht="45" customHeight="1" x14ac:dyDescent="0.25">
      <c r="A49" s="4" t="s">
        <v>371</v>
      </c>
      <c r="B49" s="4" t="s">
        <v>166</v>
      </c>
      <c r="C49" s="4" t="s">
        <v>372</v>
      </c>
      <c r="D49" s="4" t="s">
        <v>373</v>
      </c>
      <c r="E49" s="4" t="s">
        <v>374</v>
      </c>
      <c r="F49" s="4" t="s">
        <v>375</v>
      </c>
      <c r="G49" s="4" t="s">
        <v>37</v>
      </c>
      <c r="H49" s="4" t="s">
        <v>40</v>
      </c>
      <c r="I49" s="4" t="s">
        <v>22</v>
      </c>
      <c r="J49" s="4"/>
    </row>
    <row r="50" spans="1:10" ht="45" customHeight="1" x14ac:dyDescent="0.25">
      <c r="A50" s="4" t="s">
        <v>376</v>
      </c>
      <c r="B50" s="4" t="s">
        <v>166</v>
      </c>
      <c r="C50" s="4" t="s">
        <v>377</v>
      </c>
      <c r="D50" s="4" t="s">
        <v>378</v>
      </c>
      <c r="E50" s="4" t="s">
        <v>379</v>
      </c>
      <c r="F50" s="4" t="s">
        <v>380</v>
      </c>
      <c r="G50" s="4" t="s">
        <v>33</v>
      </c>
      <c r="H50" s="4" t="s">
        <v>40</v>
      </c>
      <c r="I50" s="4"/>
      <c r="J50" s="4"/>
    </row>
  </sheetData>
  <autoFilter ref="A1:J50" xr:uid="{00000000-0009-0000-0000-000004000000}"/>
  <dataValidations count="3">
    <dataValidation type="list" allowBlank="1" errorTitle="Resultado inválido" error="Seleccione: Pasa, Falla, Bloqueado o Pendiente" sqref="I2:I50" xr:uid="{00000000-0002-0000-0400-000000000000}">
      <formula1>"Pasa,Falla,Bloqueado,Pendiente"</formula1>
    </dataValidation>
    <dataValidation type="list" allowBlank="1" errorTitle="Prioridad inválida" error="Seleccione: Crítica, Alta, Media o Baja" sqref="G2:G50" xr:uid="{00000000-0002-0000-0400-000001000000}">
      <formula1>"Crítica,Alta,Media,Baja"</formula1>
    </dataValidation>
    <dataValidation type="list" allowBlank="1" errorTitle="Tipo inválido" error="Seleccione: Real o Simulado" sqref="H2:H50" xr:uid="{00000000-0002-0000-0400-000002000000}">
      <formula1>"Real,Simulado"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zoomScale="80" zoomScaleNormal="80" workbookViewId="0">
      <pane ySplit="1" topLeftCell="A20" activePane="bottomLeft" state="frozen"/>
      <selection pane="bottomLeft" activeCell="J23" sqref="J23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75" customHeight="1" x14ac:dyDescent="0.25">
      <c r="A2" s="4" t="s">
        <v>381</v>
      </c>
      <c r="B2" s="4" t="s">
        <v>382</v>
      </c>
      <c r="C2" s="4" t="s">
        <v>383</v>
      </c>
      <c r="D2" s="4" t="s">
        <v>384</v>
      </c>
      <c r="E2" s="4" t="s">
        <v>385</v>
      </c>
      <c r="F2" s="4" t="s">
        <v>386</v>
      </c>
      <c r="G2" s="4" t="s">
        <v>31</v>
      </c>
      <c r="H2" s="4" t="s">
        <v>40</v>
      </c>
      <c r="I2" s="4" t="s">
        <v>22</v>
      </c>
      <c r="J2" s="4"/>
    </row>
    <row r="3" spans="1:10" ht="75" customHeight="1" x14ac:dyDescent="0.25">
      <c r="A3" s="4" t="s">
        <v>387</v>
      </c>
      <c r="B3" s="4" t="s">
        <v>382</v>
      </c>
      <c r="C3" s="4" t="s">
        <v>388</v>
      </c>
      <c r="D3" s="4" t="s">
        <v>389</v>
      </c>
      <c r="E3" s="4" t="s">
        <v>390</v>
      </c>
      <c r="F3" s="4" t="s">
        <v>391</v>
      </c>
      <c r="G3" s="4" t="s">
        <v>31</v>
      </c>
      <c r="H3" s="4" t="s">
        <v>40</v>
      </c>
      <c r="I3" s="4" t="s">
        <v>22</v>
      </c>
      <c r="J3" s="4"/>
    </row>
    <row r="4" spans="1:10" ht="30" customHeight="1" x14ac:dyDescent="0.25">
      <c r="A4" s="4" t="s">
        <v>392</v>
      </c>
      <c r="B4" s="4" t="s">
        <v>382</v>
      </c>
      <c r="C4" s="4" t="s">
        <v>393</v>
      </c>
      <c r="D4" s="4" t="s">
        <v>394</v>
      </c>
      <c r="E4" s="4" t="s">
        <v>395</v>
      </c>
      <c r="F4" s="4" t="s">
        <v>396</v>
      </c>
      <c r="G4" s="4" t="s">
        <v>31</v>
      </c>
      <c r="H4" s="4" t="s">
        <v>40</v>
      </c>
      <c r="I4" s="4" t="s">
        <v>22</v>
      </c>
      <c r="J4" s="4"/>
    </row>
    <row r="5" spans="1:10" ht="75" customHeight="1" x14ac:dyDescent="0.25">
      <c r="A5" s="4" t="s">
        <v>397</v>
      </c>
      <c r="B5" s="4" t="s">
        <v>382</v>
      </c>
      <c r="C5" s="4" t="s">
        <v>398</v>
      </c>
      <c r="D5" s="4" t="s">
        <v>187</v>
      </c>
      <c r="E5" s="4" t="s">
        <v>399</v>
      </c>
      <c r="F5" s="4" t="s">
        <v>400</v>
      </c>
      <c r="G5" s="4" t="s">
        <v>33</v>
      </c>
      <c r="H5" s="4" t="s">
        <v>40</v>
      </c>
      <c r="I5" s="4" t="s">
        <v>22</v>
      </c>
      <c r="J5" s="4"/>
    </row>
    <row r="6" spans="1:10" ht="45" customHeight="1" x14ac:dyDescent="0.25">
      <c r="A6" s="4" t="s">
        <v>401</v>
      </c>
      <c r="B6" s="4" t="s">
        <v>382</v>
      </c>
      <c r="C6" s="4" t="s">
        <v>402</v>
      </c>
      <c r="D6" s="4" t="s">
        <v>403</v>
      </c>
      <c r="E6" s="4" t="s">
        <v>404</v>
      </c>
      <c r="F6" s="4" t="s">
        <v>405</v>
      </c>
      <c r="G6" s="4" t="s">
        <v>33</v>
      </c>
      <c r="H6" s="4" t="s">
        <v>40</v>
      </c>
      <c r="I6" s="4" t="s">
        <v>22</v>
      </c>
      <c r="J6" s="4"/>
    </row>
    <row r="7" spans="1:10" ht="60" customHeight="1" x14ac:dyDescent="0.25">
      <c r="A7" s="4" t="s">
        <v>406</v>
      </c>
      <c r="B7" s="4" t="s">
        <v>382</v>
      </c>
      <c r="C7" s="4" t="s">
        <v>407</v>
      </c>
      <c r="D7" s="4" t="s">
        <v>408</v>
      </c>
      <c r="E7" s="4" t="s">
        <v>409</v>
      </c>
      <c r="F7" s="4" t="s">
        <v>410</v>
      </c>
      <c r="G7" s="4" t="s">
        <v>31</v>
      </c>
      <c r="H7" s="4" t="s">
        <v>40</v>
      </c>
      <c r="I7" s="4" t="s">
        <v>22</v>
      </c>
      <c r="J7" s="4" t="s">
        <v>2009</v>
      </c>
    </row>
    <row r="8" spans="1:10" ht="30" customHeight="1" x14ac:dyDescent="0.25">
      <c r="A8" s="4" t="s">
        <v>411</v>
      </c>
      <c r="B8" s="4" t="s">
        <v>382</v>
      </c>
      <c r="C8" s="4" t="s">
        <v>412</v>
      </c>
      <c r="D8" s="4" t="s">
        <v>413</v>
      </c>
      <c r="E8" s="4" t="s">
        <v>414</v>
      </c>
      <c r="F8" s="4" t="s">
        <v>415</v>
      </c>
      <c r="G8" s="4" t="s">
        <v>33</v>
      </c>
      <c r="H8" s="4" t="s">
        <v>40</v>
      </c>
      <c r="I8" s="4" t="s">
        <v>22</v>
      </c>
      <c r="J8" s="4"/>
    </row>
    <row r="9" spans="1:10" ht="30" customHeight="1" x14ac:dyDescent="0.25">
      <c r="A9" s="4" t="s">
        <v>416</v>
      </c>
      <c r="B9" s="4" t="s">
        <v>382</v>
      </c>
      <c r="C9" s="4" t="s">
        <v>417</v>
      </c>
      <c r="D9" s="4" t="s">
        <v>403</v>
      </c>
      <c r="E9" s="4" t="s">
        <v>418</v>
      </c>
      <c r="F9" s="4" t="s">
        <v>419</v>
      </c>
      <c r="G9" s="4" t="s">
        <v>37</v>
      </c>
      <c r="H9" s="4" t="s">
        <v>40</v>
      </c>
      <c r="I9" s="4" t="s">
        <v>22</v>
      </c>
      <c r="J9" s="4"/>
    </row>
    <row r="10" spans="1:10" ht="45" customHeight="1" x14ac:dyDescent="0.25">
      <c r="A10" s="4" t="s">
        <v>420</v>
      </c>
      <c r="B10" s="4" t="s">
        <v>382</v>
      </c>
      <c r="C10" s="4" t="s">
        <v>421</v>
      </c>
      <c r="D10" s="4" t="s">
        <v>422</v>
      </c>
      <c r="E10" s="4" t="s">
        <v>423</v>
      </c>
      <c r="F10" s="4" t="s">
        <v>424</v>
      </c>
      <c r="G10" s="4" t="s">
        <v>35</v>
      </c>
      <c r="H10" s="4" t="s">
        <v>40</v>
      </c>
      <c r="I10" s="4" t="s">
        <v>22</v>
      </c>
      <c r="J10" s="4"/>
    </row>
    <row r="11" spans="1:10" ht="45" customHeight="1" x14ac:dyDescent="0.25">
      <c r="A11" s="4" t="s">
        <v>425</v>
      </c>
      <c r="B11" s="4" t="s">
        <v>382</v>
      </c>
      <c r="C11" s="4" t="s">
        <v>426</v>
      </c>
      <c r="D11" s="4" t="s">
        <v>422</v>
      </c>
      <c r="E11" s="4" t="s">
        <v>427</v>
      </c>
      <c r="F11" s="4" t="s">
        <v>428</v>
      </c>
      <c r="G11" s="4" t="s">
        <v>33</v>
      </c>
      <c r="H11" s="4" t="s">
        <v>40</v>
      </c>
      <c r="I11" s="4" t="s">
        <v>22</v>
      </c>
      <c r="J11" s="4"/>
    </row>
    <row r="12" spans="1:10" ht="30" customHeight="1" x14ac:dyDescent="0.25">
      <c r="A12" s="4" t="s">
        <v>429</v>
      </c>
      <c r="B12" s="4" t="s">
        <v>382</v>
      </c>
      <c r="C12" s="4" t="s">
        <v>430</v>
      </c>
      <c r="D12" s="4" t="s">
        <v>431</v>
      </c>
      <c r="E12" s="4" t="s">
        <v>432</v>
      </c>
      <c r="F12" s="4" t="s">
        <v>433</v>
      </c>
      <c r="G12" s="4" t="s">
        <v>33</v>
      </c>
      <c r="H12" s="4" t="s">
        <v>40</v>
      </c>
      <c r="I12" s="4"/>
      <c r="J12" s="4"/>
    </row>
    <row r="13" spans="1:10" ht="30" customHeight="1" x14ac:dyDescent="0.25">
      <c r="A13" s="4" t="s">
        <v>434</v>
      </c>
      <c r="B13" s="4" t="s">
        <v>382</v>
      </c>
      <c r="C13" s="4" t="s">
        <v>435</v>
      </c>
      <c r="D13" s="4" t="s">
        <v>436</v>
      </c>
      <c r="E13" s="4" t="s">
        <v>437</v>
      </c>
      <c r="F13" s="4" t="s">
        <v>438</v>
      </c>
      <c r="G13" s="4" t="s">
        <v>33</v>
      </c>
      <c r="H13" s="4" t="s">
        <v>40</v>
      </c>
      <c r="I13" s="4"/>
      <c r="J13" s="4"/>
    </row>
    <row r="14" spans="1:10" x14ac:dyDescent="0.25">
      <c r="A14" s="4" t="s">
        <v>439</v>
      </c>
      <c r="B14" s="4" t="s">
        <v>382</v>
      </c>
      <c r="C14" s="4" t="s">
        <v>440</v>
      </c>
      <c r="D14" s="4" t="s">
        <v>436</v>
      </c>
      <c r="E14" s="4" t="s">
        <v>441</v>
      </c>
      <c r="F14" s="4" t="s">
        <v>442</v>
      </c>
      <c r="G14" s="4" t="s">
        <v>33</v>
      </c>
      <c r="H14" s="4" t="s">
        <v>40</v>
      </c>
      <c r="I14" s="4" t="s">
        <v>22</v>
      </c>
      <c r="J14" s="4"/>
    </row>
    <row r="15" spans="1:10" ht="30" customHeight="1" x14ac:dyDescent="0.25">
      <c r="A15" s="4" t="s">
        <v>443</v>
      </c>
      <c r="B15" s="4" t="s">
        <v>382</v>
      </c>
      <c r="C15" s="4" t="s">
        <v>444</v>
      </c>
      <c r="D15" s="4" t="s">
        <v>445</v>
      </c>
      <c r="E15" s="4" t="s">
        <v>446</v>
      </c>
      <c r="F15" s="4" t="s">
        <v>447</v>
      </c>
      <c r="G15" s="4" t="s">
        <v>35</v>
      </c>
      <c r="H15" s="4" t="s">
        <v>40</v>
      </c>
      <c r="I15" s="4"/>
      <c r="J15" s="4"/>
    </row>
    <row r="16" spans="1:10" ht="60" customHeight="1" x14ac:dyDescent="0.25">
      <c r="A16" s="4" t="s">
        <v>448</v>
      </c>
      <c r="B16" s="4" t="s">
        <v>382</v>
      </c>
      <c r="C16" s="4" t="s">
        <v>449</v>
      </c>
      <c r="D16" s="4" t="s">
        <v>436</v>
      </c>
      <c r="E16" s="4" t="s">
        <v>450</v>
      </c>
      <c r="F16" s="4" t="s">
        <v>451</v>
      </c>
      <c r="G16" s="4" t="s">
        <v>33</v>
      </c>
      <c r="H16" s="4" t="s">
        <v>40</v>
      </c>
      <c r="I16" s="4" t="s">
        <v>26</v>
      </c>
      <c r="J16" s="4" t="s">
        <v>2010</v>
      </c>
    </row>
    <row r="17" spans="1:10" x14ac:dyDescent="0.25">
      <c r="A17" s="4" t="s">
        <v>452</v>
      </c>
      <c r="B17" s="4" t="s">
        <v>382</v>
      </c>
      <c r="C17" s="4" t="s">
        <v>453</v>
      </c>
      <c r="D17" s="4" t="s">
        <v>454</v>
      </c>
      <c r="E17" s="4" t="s">
        <v>455</v>
      </c>
      <c r="F17" s="4" t="s">
        <v>456</v>
      </c>
      <c r="G17" s="4" t="s">
        <v>35</v>
      </c>
      <c r="H17" s="4" t="s">
        <v>40</v>
      </c>
      <c r="I17" s="4" t="s">
        <v>22</v>
      </c>
      <c r="J17" s="4"/>
    </row>
    <row r="18" spans="1:10" ht="30" customHeight="1" x14ac:dyDescent="0.25">
      <c r="A18" s="4" t="s">
        <v>457</v>
      </c>
      <c r="B18" s="4" t="s">
        <v>382</v>
      </c>
      <c r="C18" s="4" t="s">
        <v>458</v>
      </c>
      <c r="D18" s="4" t="s">
        <v>459</v>
      </c>
      <c r="E18" s="4" t="s">
        <v>460</v>
      </c>
      <c r="F18" s="4" t="s">
        <v>461</v>
      </c>
      <c r="G18" s="4" t="s">
        <v>35</v>
      </c>
      <c r="H18" s="4" t="s">
        <v>40</v>
      </c>
      <c r="I18" s="4" t="s">
        <v>24</v>
      </c>
      <c r="J18" s="4" t="s">
        <v>2011</v>
      </c>
    </row>
    <row r="19" spans="1:10" ht="30" customHeight="1" x14ac:dyDescent="0.25">
      <c r="A19" s="4" t="s">
        <v>462</v>
      </c>
      <c r="B19" s="4" t="s">
        <v>382</v>
      </c>
      <c r="C19" s="4" t="s">
        <v>463</v>
      </c>
      <c r="D19" s="4" t="s">
        <v>464</v>
      </c>
      <c r="E19" s="4" t="s">
        <v>465</v>
      </c>
      <c r="F19" s="4" t="s">
        <v>466</v>
      </c>
      <c r="G19" s="4" t="s">
        <v>33</v>
      </c>
      <c r="H19" s="4" t="s">
        <v>40</v>
      </c>
      <c r="I19" s="4" t="s">
        <v>22</v>
      </c>
      <c r="J19" s="4"/>
    </row>
    <row r="20" spans="1:10" ht="45" customHeight="1" x14ac:dyDescent="0.25">
      <c r="A20" s="4" t="s">
        <v>467</v>
      </c>
      <c r="B20" s="4" t="s">
        <v>382</v>
      </c>
      <c r="C20" s="4" t="s">
        <v>468</v>
      </c>
      <c r="D20" s="4" t="s">
        <v>281</v>
      </c>
      <c r="E20" s="4" t="s">
        <v>469</v>
      </c>
      <c r="F20" s="4" t="s">
        <v>286</v>
      </c>
      <c r="G20" s="4" t="s">
        <v>31</v>
      </c>
      <c r="H20" s="4" t="s">
        <v>40</v>
      </c>
      <c r="I20" s="4" t="s">
        <v>22</v>
      </c>
      <c r="J20" s="4" t="s">
        <v>2012</v>
      </c>
    </row>
    <row r="21" spans="1:10" x14ac:dyDescent="0.25">
      <c r="A21" s="4" t="s">
        <v>470</v>
      </c>
      <c r="B21" s="4" t="s">
        <v>382</v>
      </c>
      <c r="C21" s="4" t="s">
        <v>471</v>
      </c>
      <c r="D21" s="4" t="s">
        <v>168</v>
      </c>
      <c r="E21" s="4" t="s">
        <v>472</v>
      </c>
      <c r="F21" s="4" t="s">
        <v>275</v>
      </c>
      <c r="G21" s="4" t="s">
        <v>33</v>
      </c>
      <c r="H21" s="4" t="s">
        <v>40</v>
      </c>
      <c r="I21" s="4" t="s">
        <v>22</v>
      </c>
      <c r="J21" s="4"/>
    </row>
    <row r="22" spans="1:10" ht="90" customHeight="1" x14ac:dyDescent="0.25">
      <c r="A22" s="4" t="s">
        <v>473</v>
      </c>
      <c r="B22" s="4" t="s">
        <v>382</v>
      </c>
      <c r="C22" s="4" t="s">
        <v>474</v>
      </c>
      <c r="D22" s="4" t="s">
        <v>475</v>
      </c>
      <c r="E22" s="4" t="s">
        <v>476</v>
      </c>
      <c r="F22" s="4" t="s">
        <v>477</v>
      </c>
      <c r="G22" s="4" t="s">
        <v>31</v>
      </c>
      <c r="H22" s="4" t="s">
        <v>40</v>
      </c>
      <c r="I22" s="4" t="s">
        <v>22</v>
      </c>
      <c r="J22" s="4" t="s">
        <v>2013</v>
      </c>
    </row>
    <row r="23" spans="1:10" ht="45" customHeight="1" x14ac:dyDescent="0.25">
      <c r="A23" s="4" t="s">
        <v>478</v>
      </c>
      <c r="B23" s="4" t="s">
        <v>382</v>
      </c>
      <c r="C23" s="4" t="s">
        <v>479</v>
      </c>
      <c r="D23" s="4" t="s">
        <v>475</v>
      </c>
      <c r="E23" s="4" t="s">
        <v>480</v>
      </c>
      <c r="F23" s="4" t="s">
        <v>481</v>
      </c>
      <c r="G23" s="4" t="s">
        <v>31</v>
      </c>
      <c r="H23" s="4" t="s">
        <v>40</v>
      </c>
      <c r="I23" s="4" t="s">
        <v>22</v>
      </c>
      <c r="J23" s="4"/>
    </row>
    <row r="24" spans="1:10" x14ac:dyDescent="0.25">
      <c r="A24" s="4" t="s">
        <v>482</v>
      </c>
      <c r="B24" s="4" t="s">
        <v>382</v>
      </c>
      <c r="C24" s="4" t="s">
        <v>483</v>
      </c>
      <c r="D24" s="4" t="s">
        <v>484</v>
      </c>
      <c r="E24" s="4" t="s">
        <v>485</v>
      </c>
      <c r="F24" s="4" t="s">
        <v>486</v>
      </c>
      <c r="G24" s="4" t="s">
        <v>33</v>
      </c>
      <c r="H24" s="4" t="s">
        <v>40</v>
      </c>
      <c r="I24" s="4"/>
      <c r="J24" s="4"/>
    </row>
    <row r="25" spans="1:10" ht="30" customHeight="1" x14ac:dyDescent="0.25">
      <c r="A25" s="4" t="s">
        <v>487</v>
      </c>
      <c r="B25" s="4" t="s">
        <v>382</v>
      </c>
      <c r="C25" s="4" t="s">
        <v>488</v>
      </c>
      <c r="D25" s="4" t="s">
        <v>489</v>
      </c>
      <c r="E25" s="4" t="s">
        <v>399</v>
      </c>
      <c r="F25" s="4" t="s">
        <v>490</v>
      </c>
      <c r="G25" s="4" t="s">
        <v>31</v>
      </c>
      <c r="H25" s="4" t="s">
        <v>40</v>
      </c>
      <c r="I25" s="4"/>
      <c r="J25" s="4"/>
    </row>
    <row r="26" spans="1:10" ht="30" customHeight="1" x14ac:dyDescent="0.25">
      <c r="A26" s="4" t="s">
        <v>491</v>
      </c>
      <c r="B26" s="4" t="s">
        <v>382</v>
      </c>
      <c r="C26" s="4" t="s">
        <v>492</v>
      </c>
      <c r="D26" s="4" t="s">
        <v>493</v>
      </c>
      <c r="E26" s="4" t="s">
        <v>399</v>
      </c>
      <c r="F26" s="4" t="s">
        <v>494</v>
      </c>
      <c r="G26" s="4" t="s">
        <v>33</v>
      </c>
      <c r="H26" s="4" t="s">
        <v>40</v>
      </c>
      <c r="I26" s="4"/>
      <c r="J26" s="4"/>
    </row>
    <row r="27" spans="1:10" ht="45" customHeight="1" x14ac:dyDescent="0.25">
      <c r="A27" s="4" t="s">
        <v>495</v>
      </c>
      <c r="B27" s="4" t="s">
        <v>382</v>
      </c>
      <c r="C27" s="4" t="s">
        <v>496</v>
      </c>
      <c r="D27" s="4" t="s">
        <v>497</v>
      </c>
      <c r="E27" s="4" t="s">
        <v>399</v>
      </c>
      <c r="F27" s="4" t="s">
        <v>498</v>
      </c>
      <c r="G27" s="4" t="s">
        <v>33</v>
      </c>
      <c r="H27" s="4" t="s">
        <v>40</v>
      </c>
      <c r="I27" s="4"/>
      <c r="J27" s="4"/>
    </row>
    <row r="28" spans="1:10" ht="30" customHeight="1" x14ac:dyDescent="0.25">
      <c r="A28" s="4" t="s">
        <v>499</v>
      </c>
      <c r="B28" s="4" t="s">
        <v>382</v>
      </c>
      <c r="C28" s="4" t="s">
        <v>500</v>
      </c>
      <c r="D28" s="4" t="s">
        <v>501</v>
      </c>
      <c r="E28" s="4" t="s">
        <v>399</v>
      </c>
      <c r="F28" s="4" t="s">
        <v>502</v>
      </c>
      <c r="G28" s="4" t="s">
        <v>33</v>
      </c>
      <c r="H28" s="4" t="s">
        <v>40</v>
      </c>
      <c r="I28" s="4"/>
      <c r="J28" s="4"/>
    </row>
    <row r="29" spans="1:10" ht="30" customHeight="1" x14ac:dyDescent="0.25">
      <c r="A29" s="4" t="s">
        <v>503</v>
      </c>
      <c r="B29" s="4" t="s">
        <v>382</v>
      </c>
      <c r="C29" s="4" t="s">
        <v>504</v>
      </c>
      <c r="D29" s="4" t="s">
        <v>505</v>
      </c>
      <c r="E29" s="4" t="s">
        <v>506</v>
      </c>
      <c r="F29" s="4" t="s">
        <v>507</v>
      </c>
      <c r="G29" s="4" t="s">
        <v>33</v>
      </c>
      <c r="H29" s="4" t="s">
        <v>40</v>
      </c>
      <c r="I29" s="4"/>
      <c r="J29" s="4"/>
    </row>
    <row r="30" spans="1:10" ht="30" customHeight="1" x14ac:dyDescent="0.25">
      <c r="A30" s="4" t="s">
        <v>508</v>
      </c>
      <c r="B30" s="4" t="s">
        <v>382</v>
      </c>
      <c r="C30" s="4" t="s">
        <v>509</v>
      </c>
      <c r="D30" s="4" t="s">
        <v>505</v>
      </c>
      <c r="E30" s="4" t="s">
        <v>510</v>
      </c>
      <c r="F30" s="4" t="s">
        <v>511</v>
      </c>
      <c r="G30" s="4" t="s">
        <v>31</v>
      </c>
      <c r="H30" s="4" t="s">
        <v>40</v>
      </c>
      <c r="I30" s="4"/>
      <c r="J30" s="4"/>
    </row>
    <row r="31" spans="1:10" ht="45" customHeight="1" x14ac:dyDescent="0.25">
      <c r="A31" s="4" t="s">
        <v>512</v>
      </c>
      <c r="B31" s="4" t="s">
        <v>382</v>
      </c>
      <c r="C31" s="4" t="s">
        <v>513</v>
      </c>
      <c r="D31" s="4" t="s">
        <v>514</v>
      </c>
      <c r="E31" s="4" t="s">
        <v>515</v>
      </c>
      <c r="F31" s="4" t="s">
        <v>516</v>
      </c>
      <c r="G31" s="4" t="s">
        <v>33</v>
      </c>
      <c r="H31" s="4" t="s">
        <v>40</v>
      </c>
      <c r="I31" s="4"/>
      <c r="J31" s="4"/>
    </row>
    <row r="32" spans="1:10" ht="30" customHeight="1" x14ac:dyDescent="0.25">
      <c r="A32" s="4" t="s">
        <v>517</v>
      </c>
      <c r="B32" s="4" t="s">
        <v>382</v>
      </c>
      <c r="C32" s="4" t="s">
        <v>26</v>
      </c>
      <c r="D32" s="4" t="s">
        <v>518</v>
      </c>
      <c r="E32" s="4" t="s">
        <v>399</v>
      </c>
      <c r="F32" s="4" t="s">
        <v>519</v>
      </c>
      <c r="G32" s="4" t="s">
        <v>33</v>
      </c>
      <c r="H32" s="4" t="s">
        <v>40</v>
      </c>
      <c r="I32" s="4"/>
      <c r="J32" s="4"/>
    </row>
    <row r="33" spans="1:10" ht="75" customHeight="1" x14ac:dyDescent="0.25">
      <c r="A33" s="4" t="s">
        <v>520</v>
      </c>
      <c r="B33" s="4" t="s">
        <v>382</v>
      </c>
      <c r="C33" s="4" t="s">
        <v>521</v>
      </c>
      <c r="D33" s="4" t="s">
        <v>522</v>
      </c>
      <c r="E33" s="4" t="s">
        <v>523</v>
      </c>
      <c r="F33" s="4" t="s">
        <v>524</v>
      </c>
      <c r="G33" s="4" t="s">
        <v>31</v>
      </c>
      <c r="H33" s="4" t="s">
        <v>40</v>
      </c>
      <c r="I33" s="4"/>
      <c r="J33" s="4"/>
    </row>
    <row r="34" spans="1:10" ht="30" customHeight="1" x14ac:dyDescent="0.25">
      <c r="A34" s="4" t="s">
        <v>525</v>
      </c>
      <c r="B34" s="4" t="s">
        <v>382</v>
      </c>
      <c r="C34" s="4" t="s">
        <v>526</v>
      </c>
      <c r="D34" s="4" t="s">
        <v>289</v>
      </c>
      <c r="E34" s="4" t="s">
        <v>527</v>
      </c>
      <c r="F34" s="4" t="s">
        <v>528</v>
      </c>
      <c r="G34" s="4" t="s">
        <v>35</v>
      </c>
      <c r="H34" s="4" t="s">
        <v>40</v>
      </c>
      <c r="I34" s="4"/>
      <c r="J34" s="4"/>
    </row>
    <row r="35" spans="1:10" ht="30" customHeight="1" x14ac:dyDescent="0.25">
      <c r="A35" s="4" t="s">
        <v>529</v>
      </c>
      <c r="B35" s="4" t="s">
        <v>382</v>
      </c>
      <c r="C35" s="4" t="s">
        <v>530</v>
      </c>
      <c r="D35" s="4" t="s">
        <v>289</v>
      </c>
      <c r="E35" s="4" t="s">
        <v>531</v>
      </c>
      <c r="F35" s="4" t="s">
        <v>532</v>
      </c>
      <c r="G35" s="4" t="s">
        <v>35</v>
      </c>
      <c r="H35" s="4" t="s">
        <v>40</v>
      </c>
      <c r="I35" s="4"/>
      <c r="J35" s="4"/>
    </row>
    <row r="36" spans="1:10" ht="45" customHeight="1" x14ac:dyDescent="0.25">
      <c r="A36" s="4" t="s">
        <v>533</v>
      </c>
      <c r="B36" s="4" t="s">
        <v>382</v>
      </c>
      <c r="C36" s="4" t="s">
        <v>534</v>
      </c>
      <c r="D36" s="4" t="s">
        <v>347</v>
      </c>
      <c r="E36" s="4" t="s">
        <v>535</v>
      </c>
      <c r="F36" s="4" t="s">
        <v>536</v>
      </c>
      <c r="G36" s="4" t="s">
        <v>33</v>
      </c>
      <c r="H36" s="4" t="s">
        <v>40</v>
      </c>
      <c r="I36" s="4"/>
      <c r="J36" s="4"/>
    </row>
    <row r="37" spans="1:10" ht="30" customHeight="1" x14ac:dyDescent="0.25">
      <c r="A37" s="4" t="s">
        <v>537</v>
      </c>
      <c r="B37" s="4" t="s">
        <v>382</v>
      </c>
      <c r="C37" s="4" t="s">
        <v>538</v>
      </c>
      <c r="D37" s="4" t="s">
        <v>347</v>
      </c>
      <c r="E37" s="4" t="s">
        <v>539</v>
      </c>
      <c r="F37" s="4" t="s">
        <v>540</v>
      </c>
      <c r="G37" s="4" t="s">
        <v>33</v>
      </c>
      <c r="H37" s="4" t="s">
        <v>40</v>
      </c>
      <c r="I37" s="4"/>
      <c r="J37" s="4"/>
    </row>
    <row r="38" spans="1:10" ht="30" customHeight="1" x14ac:dyDescent="0.25">
      <c r="A38" s="4" t="s">
        <v>541</v>
      </c>
      <c r="B38" s="4" t="s">
        <v>382</v>
      </c>
      <c r="C38" s="4" t="s">
        <v>542</v>
      </c>
      <c r="D38" s="4" t="s">
        <v>543</v>
      </c>
      <c r="E38" s="4" t="s">
        <v>544</v>
      </c>
      <c r="F38" s="4" t="s">
        <v>545</v>
      </c>
      <c r="G38" s="4" t="s">
        <v>35</v>
      </c>
      <c r="H38" s="4" t="s">
        <v>40</v>
      </c>
      <c r="I38" s="4"/>
      <c r="J38" s="4"/>
    </row>
    <row r="39" spans="1:10" ht="30" customHeight="1" x14ac:dyDescent="0.25">
      <c r="A39" s="4" t="s">
        <v>546</v>
      </c>
      <c r="B39" s="4" t="s">
        <v>382</v>
      </c>
      <c r="C39" s="4" t="s">
        <v>547</v>
      </c>
      <c r="D39" s="4" t="s">
        <v>548</v>
      </c>
      <c r="E39" s="4" t="s">
        <v>549</v>
      </c>
      <c r="F39" s="4" t="s">
        <v>550</v>
      </c>
      <c r="G39" s="4" t="s">
        <v>33</v>
      </c>
      <c r="H39" s="4" t="s">
        <v>40</v>
      </c>
      <c r="I39" s="4"/>
      <c r="J39" s="4"/>
    </row>
    <row r="40" spans="1:10" ht="45" customHeight="1" x14ac:dyDescent="0.25">
      <c r="A40" s="4" t="s">
        <v>551</v>
      </c>
      <c r="B40" s="4" t="s">
        <v>382</v>
      </c>
      <c r="C40" s="4" t="s">
        <v>552</v>
      </c>
      <c r="D40" s="4" t="s">
        <v>553</v>
      </c>
      <c r="E40" s="4" t="s">
        <v>554</v>
      </c>
      <c r="F40" s="4" t="s">
        <v>555</v>
      </c>
      <c r="G40" s="4" t="s">
        <v>35</v>
      </c>
      <c r="H40" s="4" t="s">
        <v>40</v>
      </c>
      <c r="I40" s="4"/>
      <c r="J40" s="4"/>
    </row>
    <row r="41" spans="1:10" ht="75" customHeight="1" x14ac:dyDescent="0.25">
      <c r="A41" s="4" t="s">
        <v>556</v>
      </c>
      <c r="B41" s="4" t="s">
        <v>382</v>
      </c>
      <c r="C41" s="4" t="s">
        <v>557</v>
      </c>
      <c r="D41" s="4" t="s">
        <v>558</v>
      </c>
      <c r="E41" s="4" t="s">
        <v>559</v>
      </c>
      <c r="F41" s="4" t="s">
        <v>560</v>
      </c>
      <c r="G41" s="4" t="s">
        <v>33</v>
      </c>
      <c r="H41" s="4" t="s">
        <v>40</v>
      </c>
      <c r="I41" s="4"/>
      <c r="J41" s="4"/>
    </row>
    <row r="42" spans="1:10" ht="60" customHeight="1" x14ac:dyDescent="0.25">
      <c r="A42" s="4" t="s">
        <v>561</v>
      </c>
      <c r="B42" s="4" t="s">
        <v>382</v>
      </c>
      <c r="C42" s="4" t="s">
        <v>562</v>
      </c>
      <c r="D42" s="4" t="s">
        <v>558</v>
      </c>
      <c r="E42" s="4" t="s">
        <v>563</v>
      </c>
      <c r="F42" s="4" t="s">
        <v>564</v>
      </c>
      <c r="G42" s="4" t="s">
        <v>33</v>
      </c>
      <c r="H42" s="4" t="s">
        <v>40</v>
      </c>
      <c r="I42" s="4"/>
      <c r="J42" s="4"/>
    </row>
    <row r="43" spans="1:10" ht="60" customHeight="1" x14ac:dyDescent="0.25">
      <c r="A43" s="4" t="s">
        <v>565</v>
      </c>
      <c r="B43" s="4" t="s">
        <v>382</v>
      </c>
      <c r="C43" s="4" t="s">
        <v>566</v>
      </c>
      <c r="D43" s="4" t="s">
        <v>567</v>
      </c>
      <c r="E43" s="4" t="s">
        <v>568</v>
      </c>
      <c r="F43" s="4" t="s">
        <v>569</v>
      </c>
      <c r="G43" s="4" t="s">
        <v>33</v>
      </c>
      <c r="H43" s="4" t="s">
        <v>40</v>
      </c>
      <c r="I43" s="4"/>
      <c r="J43" s="4"/>
    </row>
    <row r="44" spans="1:10" ht="45" customHeight="1" x14ac:dyDescent="0.25">
      <c r="A44" s="4" t="s">
        <v>570</v>
      </c>
      <c r="B44" s="4" t="s">
        <v>382</v>
      </c>
      <c r="C44" s="4" t="s">
        <v>571</v>
      </c>
      <c r="D44" s="4" t="s">
        <v>572</v>
      </c>
      <c r="E44" s="4" t="s">
        <v>573</v>
      </c>
      <c r="F44" s="4" t="s">
        <v>574</v>
      </c>
      <c r="G44" s="4" t="s">
        <v>35</v>
      </c>
      <c r="H44" s="4" t="s">
        <v>40</v>
      </c>
      <c r="I44" s="4"/>
      <c r="J44" s="4"/>
    </row>
    <row r="45" spans="1:10" ht="30" customHeight="1" x14ac:dyDescent="0.25">
      <c r="A45" s="4" t="s">
        <v>575</v>
      </c>
      <c r="B45" s="4" t="s">
        <v>382</v>
      </c>
      <c r="C45" s="4" t="s">
        <v>576</v>
      </c>
      <c r="D45" s="4" t="s">
        <v>577</v>
      </c>
      <c r="E45" s="4" t="s">
        <v>578</v>
      </c>
      <c r="F45" s="4" t="s">
        <v>579</v>
      </c>
      <c r="G45" s="4" t="s">
        <v>35</v>
      </c>
      <c r="H45" s="4" t="s">
        <v>40</v>
      </c>
      <c r="I45" s="4"/>
      <c r="J45" s="4"/>
    </row>
  </sheetData>
  <autoFilter ref="A1:J45" xr:uid="{00000000-0009-0000-0000-000005000000}"/>
  <dataValidations count="3">
    <dataValidation type="list" allowBlank="1" errorTitle="Resultado inválido" error="Seleccione: Pasa, Falla, Bloqueado o Pendiente" sqref="I2:I45" xr:uid="{00000000-0002-0000-0500-000000000000}">
      <formula1>"Pasa,Falla,Bloqueado,Pendiente"</formula1>
    </dataValidation>
    <dataValidation type="list" allowBlank="1" errorTitle="Prioridad inválida" error="Seleccione: Crítica, Alta, Media o Baja" sqref="G2:G45" xr:uid="{00000000-0002-0000-0500-000001000000}">
      <formula1>"Crítica,Alta,Media,Baja"</formula1>
    </dataValidation>
    <dataValidation type="list" allowBlank="1" errorTitle="Tipo inválido" error="Seleccione: Real o Simulado" sqref="H2:H45" xr:uid="{00000000-0002-0000-0500-000002000000}">
      <formula1>"Real,Simulado"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60" customHeight="1" x14ac:dyDescent="0.25">
      <c r="A2" s="4" t="s">
        <v>580</v>
      </c>
      <c r="B2" s="4" t="s">
        <v>581</v>
      </c>
      <c r="C2" s="4" t="s">
        <v>582</v>
      </c>
      <c r="D2" s="4" t="s">
        <v>583</v>
      </c>
      <c r="E2" s="4" t="s">
        <v>584</v>
      </c>
      <c r="F2" s="4" t="s">
        <v>585</v>
      </c>
      <c r="G2" s="4" t="s">
        <v>31</v>
      </c>
      <c r="H2" s="4" t="s">
        <v>40</v>
      </c>
      <c r="I2" s="4"/>
      <c r="J2" s="4"/>
    </row>
    <row r="3" spans="1:10" ht="45" customHeight="1" x14ac:dyDescent="0.25">
      <c r="A3" s="4" t="s">
        <v>586</v>
      </c>
      <c r="B3" s="4" t="s">
        <v>581</v>
      </c>
      <c r="C3" s="4" t="s">
        <v>587</v>
      </c>
      <c r="D3" s="4" t="s">
        <v>475</v>
      </c>
      <c r="E3" s="4" t="s">
        <v>588</v>
      </c>
      <c r="F3" s="4" t="s">
        <v>589</v>
      </c>
      <c r="G3" s="4" t="s">
        <v>31</v>
      </c>
      <c r="H3" s="4" t="s">
        <v>40</v>
      </c>
      <c r="I3" s="4"/>
      <c r="J3" s="4"/>
    </row>
    <row r="4" spans="1:10" ht="45" customHeight="1" x14ac:dyDescent="0.25">
      <c r="A4" s="4" t="s">
        <v>590</v>
      </c>
      <c r="B4" s="4" t="s">
        <v>581</v>
      </c>
      <c r="C4" s="4" t="s">
        <v>591</v>
      </c>
      <c r="D4" s="4" t="s">
        <v>475</v>
      </c>
      <c r="E4" s="4" t="s">
        <v>592</v>
      </c>
      <c r="F4" s="4" t="s">
        <v>593</v>
      </c>
      <c r="G4" s="4" t="s">
        <v>31</v>
      </c>
      <c r="H4" s="4" t="s">
        <v>40</v>
      </c>
      <c r="I4" s="4"/>
      <c r="J4" s="4"/>
    </row>
    <row r="5" spans="1:10" ht="45" customHeight="1" x14ac:dyDescent="0.25">
      <c r="A5" s="4" t="s">
        <v>594</v>
      </c>
      <c r="B5" s="4" t="s">
        <v>581</v>
      </c>
      <c r="C5" s="4" t="s">
        <v>595</v>
      </c>
      <c r="D5" s="4" t="s">
        <v>187</v>
      </c>
      <c r="E5" s="4" t="s">
        <v>596</v>
      </c>
      <c r="F5" s="4" t="s">
        <v>597</v>
      </c>
      <c r="G5" s="4" t="s">
        <v>31</v>
      </c>
      <c r="H5" s="4" t="s">
        <v>40</v>
      </c>
      <c r="I5" s="4"/>
      <c r="J5" s="4"/>
    </row>
    <row r="6" spans="1:10" x14ac:dyDescent="0.25">
      <c r="A6" s="4" t="s">
        <v>598</v>
      </c>
      <c r="B6" s="4" t="s">
        <v>581</v>
      </c>
      <c r="C6" s="4" t="s">
        <v>599</v>
      </c>
      <c r="D6" s="4" t="s">
        <v>600</v>
      </c>
      <c r="E6" s="4" t="s">
        <v>601</v>
      </c>
      <c r="F6" s="4" t="s">
        <v>602</v>
      </c>
      <c r="G6" s="4" t="s">
        <v>35</v>
      </c>
      <c r="H6" s="4" t="s">
        <v>40</v>
      </c>
      <c r="I6" s="4"/>
      <c r="J6" s="4"/>
    </row>
    <row r="7" spans="1:10" ht="45" customHeight="1" x14ac:dyDescent="0.25">
      <c r="A7" s="4" t="s">
        <v>603</v>
      </c>
      <c r="B7" s="4" t="s">
        <v>581</v>
      </c>
      <c r="C7" s="4" t="s">
        <v>604</v>
      </c>
      <c r="D7" s="4" t="s">
        <v>605</v>
      </c>
      <c r="E7" s="4" t="s">
        <v>606</v>
      </c>
      <c r="F7" s="4" t="s">
        <v>607</v>
      </c>
      <c r="G7" s="4" t="s">
        <v>33</v>
      </c>
      <c r="H7" s="4" t="s">
        <v>40</v>
      </c>
      <c r="I7" s="4"/>
      <c r="J7" s="4"/>
    </row>
    <row r="8" spans="1:10" ht="45" customHeight="1" x14ac:dyDescent="0.25">
      <c r="A8" s="4" t="s">
        <v>608</v>
      </c>
      <c r="B8" s="4" t="s">
        <v>581</v>
      </c>
      <c r="C8" s="4" t="s">
        <v>609</v>
      </c>
      <c r="D8" s="4" t="s">
        <v>605</v>
      </c>
      <c r="E8" s="4" t="s">
        <v>610</v>
      </c>
      <c r="F8" s="4" t="s">
        <v>611</v>
      </c>
      <c r="G8" s="4" t="s">
        <v>33</v>
      </c>
      <c r="H8" s="4" t="s">
        <v>40</v>
      </c>
      <c r="I8" s="4"/>
      <c r="J8" s="4"/>
    </row>
    <row r="9" spans="1:10" ht="30" customHeight="1" x14ac:dyDescent="0.25">
      <c r="A9" s="4" t="s">
        <v>612</v>
      </c>
      <c r="B9" s="4" t="s">
        <v>581</v>
      </c>
      <c r="C9" s="4" t="s">
        <v>613</v>
      </c>
      <c r="D9" s="4" t="s">
        <v>614</v>
      </c>
      <c r="E9" s="4" t="s">
        <v>615</v>
      </c>
      <c r="F9" s="4" t="s">
        <v>616</v>
      </c>
      <c r="G9" s="4" t="s">
        <v>33</v>
      </c>
      <c r="H9" s="4" t="s">
        <v>40</v>
      </c>
      <c r="I9" s="4"/>
      <c r="J9" s="4"/>
    </row>
    <row r="10" spans="1:10" x14ac:dyDescent="0.25">
      <c r="A10" s="4" t="s">
        <v>617</v>
      </c>
      <c r="B10" s="4" t="s">
        <v>581</v>
      </c>
      <c r="C10" s="4" t="s">
        <v>618</v>
      </c>
      <c r="D10" s="4" t="s">
        <v>619</v>
      </c>
      <c r="E10" s="4" t="s">
        <v>620</v>
      </c>
      <c r="F10" s="4" t="s">
        <v>621</v>
      </c>
      <c r="G10" s="4" t="s">
        <v>37</v>
      </c>
      <c r="H10" s="4" t="s">
        <v>40</v>
      </c>
      <c r="I10" s="4"/>
      <c r="J10" s="4"/>
    </row>
    <row r="11" spans="1:10" ht="60" customHeight="1" x14ac:dyDescent="0.25">
      <c r="A11" s="4" t="s">
        <v>622</v>
      </c>
      <c r="B11" s="4" t="s">
        <v>581</v>
      </c>
      <c r="C11" s="4" t="s">
        <v>623</v>
      </c>
      <c r="D11" s="4" t="s">
        <v>624</v>
      </c>
      <c r="E11" s="4" t="s">
        <v>625</v>
      </c>
      <c r="F11" s="4" t="s">
        <v>626</v>
      </c>
      <c r="G11" s="4" t="s">
        <v>33</v>
      </c>
      <c r="H11" s="4" t="s">
        <v>40</v>
      </c>
      <c r="I11" s="4"/>
      <c r="J11" s="4"/>
    </row>
    <row r="12" spans="1:10" ht="30" customHeight="1" x14ac:dyDescent="0.25">
      <c r="A12" s="4" t="s">
        <v>627</v>
      </c>
      <c r="B12" s="4" t="s">
        <v>581</v>
      </c>
      <c r="C12" s="4" t="s">
        <v>628</v>
      </c>
      <c r="D12" s="4" t="s">
        <v>624</v>
      </c>
      <c r="E12" s="4" t="s">
        <v>629</v>
      </c>
      <c r="F12" s="4" t="s">
        <v>630</v>
      </c>
      <c r="G12" s="4" t="s">
        <v>37</v>
      </c>
      <c r="H12" s="4" t="s">
        <v>40</v>
      </c>
      <c r="I12" s="4"/>
      <c r="J12" s="4"/>
    </row>
    <row r="13" spans="1:10" ht="30" customHeight="1" x14ac:dyDescent="0.25">
      <c r="A13" s="4" t="s">
        <v>631</v>
      </c>
      <c r="B13" s="4" t="s">
        <v>581</v>
      </c>
      <c r="C13" s="4" t="s">
        <v>632</v>
      </c>
      <c r="D13" s="4" t="s">
        <v>633</v>
      </c>
      <c r="E13" s="4" t="s">
        <v>601</v>
      </c>
      <c r="F13" s="4" t="s">
        <v>634</v>
      </c>
      <c r="G13" s="4" t="s">
        <v>35</v>
      </c>
      <c r="H13" s="4" t="s">
        <v>40</v>
      </c>
      <c r="I13" s="4"/>
      <c r="J13" s="4"/>
    </row>
    <row r="14" spans="1:10" x14ac:dyDescent="0.25">
      <c r="A14" s="4" t="s">
        <v>635</v>
      </c>
      <c r="B14" s="4" t="s">
        <v>581</v>
      </c>
      <c r="C14" s="4" t="s">
        <v>636</v>
      </c>
      <c r="D14" s="4" t="s">
        <v>637</v>
      </c>
      <c r="E14" s="4" t="s">
        <v>638</v>
      </c>
      <c r="F14" s="4" t="s">
        <v>639</v>
      </c>
      <c r="G14" s="4" t="s">
        <v>37</v>
      </c>
      <c r="H14" s="4" t="s">
        <v>40</v>
      </c>
      <c r="I14" s="4"/>
      <c r="J14" s="4"/>
    </row>
    <row r="15" spans="1:10" x14ac:dyDescent="0.25">
      <c r="A15" s="4" t="s">
        <v>640</v>
      </c>
      <c r="B15" s="4" t="s">
        <v>581</v>
      </c>
      <c r="C15" s="4" t="s">
        <v>280</v>
      </c>
      <c r="D15" s="4" t="s">
        <v>281</v>
      </c>
      <c r="E15" s="4" t="s">
        <v>278</v>
      </c>
      <c r="F15" s="4" t="s">
        <v>641</v>
      </c>
      <c r="G15" s="4" t="s">
        <v>31</v>
      </c>
      <c r="H15" s="4" t="s">
        <v>40</v>
      </c>
      <c r="I15" s="4"/>
      <c r="J15" s="4"/>
    </row>
    <row r="16" spans="1:10" x14ac:dyDescent="0.25">
      <c r="A16" s="4" t="s">
        <v>642</v>
      </c>
      <c r="B16" s="4" t="s">
        <v>581</v>
      </c>
      <c r="C16" s="4" t="s">
        <v>288</v>
      </c>
      <c r="D16" s="4" t="s">
        <v>289</v>
      </c>
      <c r="E16" s="4" t="s">
        <v>278</v>
      </c>
      <c r="F16" s="4" t="s">
        <v>643</v>
      </c>
      <c r="G16" s="4" t="s">
        <v>31</v>
      </c>
      <c r="H16" s="4" t="s">
        <v>40</v>
      </c>
      <c r="I16" s="4"/>
      <c r="J16" s="4"/>
    </row>
    <row r="17" spans="1:10" x14ac:dyDescent="0.25">
      <c r="A17" s="4" t="s">
        <v>644</v>
      </c>
      <c r="B17" s="4" t="s">
        <v>581</v>
      </c>
      <c r="C17" s="4" t="s">
        <v>277</v>
      </c>
      <c r="D17" s="4" t="s">
        <v>168</v>
      </c>
      <c r="E17" s="4" t="s">
        <v>472</v>
      </c>
      <c r="F17" s="4" t="s">
        <v>275</v>
      </c>
      <c r="G17" s="4" t="s">
        <v>31</v>
      </c>
      <c r="H17" s="4" t="s">
        <v>40</v>
      </c>
      <c r="I17" s="4"/>
      <c r="J17" s="4"/>
    </row>
    <row r="18" spans="1:10" ht="30" customHeight="1" x14ac:dyDescent="0.25">
      <c r="A18" s="4" t="s">
        <v>645</v>
      </c>
      <c r="B18" s="4" t="s">
        <v>581</v>
      </c>
      <c r="C18" s="4" t="s">
        <v>646</v>
      </c>
      <c r="D18" s="4" t="s">
        <v>647</v>
      </c>
      <c r="E18" s="4" t="s">
        <v>648</v>
      </c>
      <c r="F18" s="4" t="s">
        <v>649</v>
      </c>
      <c r="G18" s="4" t="s">
        <v>31</v>
      </c>
      <c r="H18" s="4" t="s">
        <v>40</v>
      </c>
      <c r="I18" s="4"/>
      <c r="J18" s="4"/>
    </row>
    <row r="19" spans="1:10" ht="45" customHeight="1" x14ac:dyDescent="0.25">
      <c r="A19" s="4" t="s">
        <v>650</v>
      </c>
      <c r="B19" s="4" t="s">
        <v>581</v>
      </c>
      <c r="C19" s="4" t="s">
        <v>651</v>
      </c>
      <c r="D19" s="4" t="s">
        <v>652</v>
      </c>
      <c r="E19" s="4" t="s">
        <v>638</v>
      </c>
      <c r="F19" s="4" t="s">
        <v>653</v>
      </c>
      <c r="G19" s="4" t="s">
        <v>35</v>
      </c>
      <c r="H19" s="4" t="s">
        <v>40</v>
      </c>
      <c r="I19" s="4"/>
      <c r="J19" s="4"/>
    </row>
    <row r="20" spans="1:10" ht="45" customHeight="1" x14ac:dyDescent="0.25">
      <c r="A20" s="4" t="s">
        <v>654</v>
      </c>
      <c r="B20" s="4" t="s">
        <v>581</v>
      </c>
      <c r="C20" s="4" t="s">
        <v>655</v>
      </c>
      <c r="D20" s="4" t="s">
        <v>656</v>
      </c>
      <c r="E20" s="4" t="s">
        <v>657</v>
      </c>
      <c r="F20" s="4" t="s">
        <v>658</v>
      </c>
      <c r="G20" s="4" t="s">
        <v>35</v>
      </c>
      <c r="H20" s="4" t="s">
        <v>40</v>
      </c>
      <c r="I20" s="4"/>
      <c r="J20" s="4"/>
    </row>
    <row r="21" spans="1:10" x14ac:dyDescent="0.25">
      <c r="A21" s="4" t="s">
        <v>659</v>
      </c>
      <c r="B21" s="4" t="s">
        <v>581</v>
      </c>
      <c r="C21" s="4" t="s">
        <v>660</v>
      </c>
      <c r="D21" s="4" t="s">
        <v>661</v>
      </c>
      <c r="E21" s="4" t="s">
        <v>662</v>
      </c>
      <c r="F21" s="4" t="s">
        <v>663</v>
      </c>
      <c r="G21" s="4" t="s">
        <v>33</v>
      </c>
      <c r="H21" s="4" t="s">
        <v>40</v>
      </c>
      <c r="I21" s="4"/>
      <c r="J21" s="4"/>
    </row>
    <row r="22" spans="1:10" ht="45" customHeight="1" x14ac:dyDescent="0.25">
      <c r="A22" s="4" t="s">
        <v>664</v>
      </c>
      <c r="B22" s="4" t="s">
        <v>581</v>
      </c>
      <c r="C22" s="4" t="s">
        <v>665</v>
      </c>
      <c r="D22" s="4" t="s">
        <v>475</v>
      </c>
      <c r="E22" s="4" t="s">
        <v>666</v>
      </c>
      <c r="F22" s="4" t="s">
        <v>667</v>
      </c>
      <c r="G22" s="4" t="s">
        <v>31</v>
      </c>
      <c r="H22" s="4" t="s">
        <v>40</v>
      </c>
      <c r="I22" s="4"/>
      <c r="J22" s="4"/>
    </row>
    <row r="23" spans="1:10" ht="45" customHeight="1" x14ac:dyDescent="0.25">
      <c r="A23" s="4" t="s">
        <v>668</v>
      </c>
      <c r="B23" s="4" t="s">
        <v>581</v>
      </c>
      <c r="C23" s="4" t="s">
        <v>669</v>
      </c>
      <c r="D23" s="4" t="s">
        <v>670</v>
      </c>
      <c r="E23" s="4" t="s">
        <v>671</v>
      </c>
      <c r="F23" s="4" t="s">
        <v>672</v>
      </c>
      <c r="G23" s="4" t="s">
        <v>33</v>
      </c>
      <c r="H23" s="4" t="s">
        <v>40</v>
      </c>
      <c r="I23" s="4"/>
      <c r="J23" s="4"/>
    </row>
    <row r="24" spans="1:10" ht="30" customHeight="1" x14ac:dyDescent="0.25">
      <c r="A24" s="4" t="s">
        <v>673</v>
      </c>
      <c r="B24" s="4" t="s">
        <v>581</v>
      </c>
      <c r="C24" s="4" t="s">
        <v>674</v>
      </c>
      <c r="D24" s="4" t="s">
        <v>675</v>
      </c>
      <c r="E24" s="4" t="s">
        <v>676</v>
      </c>
      <c r="F24" s="4" t="s">
        <v>677</v>
      </c>
      <c r="G24" s="4" t="s">
        <v>35</v>
      </c>
      <c r="H24" s="4" t="s">
        <v>40</v>
      </c>
      <c r="I24" s="4"/>
      <c r="J24" s="4"/>
    </row>
    <row r="25" spans="1:10" x14ac:dyDescent="0.25">
      <c r="A25" s="4" t="s">
        <v>678</v>
      </c>
      <c r="B25" s="4" t="s">
        <v>581</v>
      </c>
      <c r="C25" s="4" t="s">
        <v>679</v>
      </c>
      <c r="D25" s="4" t="s">
        <v>347</v>
      </c>
      <c r="E25" s="4" t="s">
        <v>584</v>
      </c>
      <c r="F25" s="4" t="s">
        <v>680</v>
      </c>
      <c r="G25" s="4" t="s">
        <v>33</v>
      </c>
      <c r="H25" s="4" t="s">
        <v>40</v>
      </c>
      <c r="I25" s="4"/>
      <c r="J25" s="4"/>
    </row>
    <row r="26" spans="1:10" x14ac:dyDescent="0.25">
      <c r="A26" s="4" t="s">
        <v>681</v>
      </c>
      <c r="B26" s="4" t="s">
        <v>581</v>
      </c>
      <c r="C26" s="4" t="s">
        <v>682</v>
      </c>
      <c r="D26" s="4" t="s">
        <v>347</v>
      </c>
      <c r="E26" s="4" t="s">
        <v>683</v>
      </c>
      <c r="F26" s="4" t="s">
        <v>684</v>
      </c>
      <c r="G26" s="4" t="s">
        <v>33</v>
      </c>
      <c r="H26" s="4" t="s">
        <v>40</v>
      </c>
      <c r="I26" s="4"/>
      <c r="J26" s="4"/>
    </row>
    <row r="27" spans="1:10" x14ac:dyDescent="0.25">
      <c r="A27" s="4" t="s">
        <v>685</v>
      </c>
      <c r="B27" s="4" t="s">
        <v>581</v>
      </c>
      <c r="C27" s="4" t="s">
        <v>686</v>
      </c>
      <c r="D27" s="4" t="s">
        <v>687</v>
      </c>
      <c r="E27" s="4" t="s">
        <v>688</v>
      </c>
      <c r="F27" s="4" t="s">
        <v>689</v>
      </c>
      <c r="G27" s="4" t="s">
        <v>35</v>
      </c>
      <c r="H27" s="4" t="s">
        <v>40</v>
      </c>
      <c r="I27" s="4"/>
      <c r="J27" s="4"/>
    </row>
    <row r="28" spans="1:10" x14ac:dyDescent="0.25">
      <c r="A28" s="4" t="s">
        <v>690</v>
      </c>
      <c r="B28" s="4" t="s">
        <v>581</v>
      </c>
      <c r="C28" s="4" t="s">
        <v>691</v>
      </c>
      <c r="D28" s="4" t="s">
        <v>692</v>
      </c>
      <c r="E28" s="4" t="s">
        <v>693</v>
      </c>
      <c r="F28" s="4" t="s">
        <v>694</v>
      </c>
      <c r="G28" s="4" t="s">
        <v>37</v>
      </c>
      <c r="H28" s="4" t="s">
        <v>40</v>
      </c>
      <c r="I28" s="4"/>
      <c r="J28" s="4"/>
    </row>
    <row r="29" spans="1:10" ht="60" customHeight="1" x14ac:dyDescent="0.25">
      <c r="A29" s="4" t="s">
        <v>695</v>
      </c>
      <c r="B29" s="4" t="s">
        <v>581</v>
      </c>
      <c r="C29" s="4" t="s">
        <v>696</v>
      </c>
      <c r="D29" s="4" t="s">
        <v>245</v>
      </c>
      <c r="E29" s="4" t="s">
        <v>697</v>
      </c>
      <c r="F29" s="4" t="s">
        <v>698</v>
      </c>
      <c r="G29" s="4" t="s">
        <v>37</v>
      </c>
      <c r="H29" s="4" t="s">
        <v>40</v>
      </c>
      <c r="I29" s="4"/>
      <c r="J29" s="4"/>
    </row>
    <row r="30" spans="1:10" ht="45" customHeight="1" x14ac:dyDescent="0.25">
      <c r="A30" s="4" t="s">
        <v>699</v>
      </c>
      <c r="B30" s="4" t="s">
        <v>581</v>
      </c>
      <c r="C30" s="4" t="s">
        <v>700</v>
      </c>
      <c r="D30" s="4" t="s">
        <v>701</v>
      </c>
      <c r="E30" s="4" t="s">
        <v>702</v>
      </c>
      <c r="F30" s="4" t="s">
        <v>703</v>
      </c>
      <c r="G30" s="4" t="s">
        <v>35</v>
      </c>
      <c r="H30" s="4" t="s">
        <v>40</v>
      </c>
      <c r="I30" s="4"/>
      <c r="J30" s="4"/>
    </row>
  </sheetData>
  <autoFilter ref="A1:J30" xr:uid="{00000000-0009-0000-0000-000006000000}"/>
  <dataValidations count="3">
    <dataValidation type="list" allowBlank="1" errorTitle="Resultado inválido" error="Seleccione: Pasa, Falla, Bloqueado o Pendiente" sqref="I2:I30" xr:uid="{00000000-0002-0000-0600-000000000000}">
      <formula1>"Pasa,Falla,Bloqueado,Pendiente"</formula1>
    </dataValidation>
    <dataValidation type="list" allowBlank="1" errorTitle="Prioridad inválida" error="Seleccione: Crítica, Alta, Media o Baja" sqref="G2:G30" xr:uid="{00000000-0002-0000-0600-000001000000}">
      <formula1>"Crítica,Alta,Media,Baja"</formula1>
    </dataValidation>
    <dataValidation type="list" allowBlank="1" errorTitle="Tipo inválido" error="Seleccione: Real o Simulado" sqref="H2:H30" xr:uid="{00000000-0002-0000-0600-000002000000}">
      <formula1>"Real,Simulado"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45" customHeight="1" x14ac:dyDescent="0.25">
      <c r="A2" s="4" t="s">
        <v>704</v>
      </c>
      <c r="B2" s="4" t="s">
        <v>705</v>
      </c>
      <c r="C2" s="4" t="s">
        <v>706</v>
      </c>
      <c r="D2" s="4" t="s">
        <v>583</v>
      </c>
      <c r="E2" s="4" t="s">
        <v>707</v>
      </c>
      <c r="F2" s="4" t="s">
        <v>708</v>
      </c>
      <c r="G2" s="4" t="s">
        <v>31</v>
      </c>
      <c r="H2" s="4" t="s">
        <v>40</v>
      </c>
      <c r="I2" s="4"/>
      <c r="J2" s="4"/>
    </row>
    <row r="3" spans="1:10" ht="30" customHeight="1" x14ac:dyDescent="0.25">
      <c r="A3" s="4" t="s">
        <v>709</v>
      </c>
      <c r="B3" s="4" t="s">
        <v>705</v>
      </c>
      <c r="C3" s="4" t="s">
        <v>710</v>
      </c>
      <c r="D3" s="4" t="s">
        <v>711</v>
      </c>
      <c r="E3" s="4" t="s">
        <v>712</v>
      </c>
      <c r="F3" s="4" t="s">
        <v>713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714</v>
      </c>
      <c r="B4" s="4" t="s">
        <v>705</v>
      </c>
      <c r="C4" s="4" t="s">
        <v>715</v>
      </c>
      <c r="D4" s="4" t="s">
        <v>310</v>
      </c>
      <c r="E4" s="4" t="s">
        <v>716</v>
      </c>
      <c r="F4" s="4" t="s">
        <v>717</v>
      </c>
      <c r="G4" s="4" t="s">
        <v>33</v>
      </c>
      <c r="H4" s="4" t="s">
        <v>40</v>
      </c>
      <c r="I4" s="4"/>
      <c r="J4" s="4"/>
    </row>
    <row r="5" spans="1:10" x14ac:dyDescent="0.25">
      <c r="A5" s="4" t="s">
        <v>718</v>
      </c>
      <c r="B5" s="4" t="s">
        <v>705</v>
      </c>
      <c r="C5" s="4" t="s">
        <v>719</v>
      </c>
      <c r="D5" s="4" t="s">
        <v>720</v>
      </c>
      <c r="E5" s="4" t="s">
        <v>721</v>
      </c>
      <c r="F5" s="4" t="s">
        <v>722</v>
      </c>
      <c r="G5" s="4" t="s">
        <v>31</v>
      </c>
      <c r="H5" s="4" t="s">
        <v>40</v>
      </c>
      <c r="I5" s="4"/>
      <c r="J5" s="4"/>
    </row>
    <row r="6" spans="1:10" ht="30" customHeight="1" x14ac:dyDescent="0.25">
      <c r="A6" s="4" t="s">
        <v>723</v>
      </c>
      <c r="B6" s="4" t="s">
        <v>705</v>
      </c>
      <c r="C6" s="4" t="s">
        <v>724</v>
      </c>
      <c r="D6" s="4" t="s">
        <v>725</v>
      </c>
      <c r="E6" s="4" t="s">
        <v>726</v>
      </c>
      <c r="F6" s="4" t="s">
        <v>727</v>
      </c>
      <c r="G6" s="4" t="s">
        <v>37</v>
      </c>
      <c r="H6" s="4" t="s">
        <v>40</v>
      </c>
      <c r="I6" s="4"/>
      <c r="J6" s="4"/>
    </row>
    <row r="7" spans="1:10" ht="30" customHeight="1" x14ac:dyDescent="0.25">
      <c r="A7" s="4" t="s">
        <v>728</v>
      </c>
      <c r="B7" s="4" t="s">
        <v>705</v>
      </c>
      <c r="C7" s="4" t="s">
        <v>729</v>
      </c>
      <c r="D7" s="4" t="s">
        <v>730</v>
      </c>
      <c r="E7" s="4" t="s">
        <v>731</v>
      </c>
      <c r="F7" s="4" t="s">
        <v>732</v>
      </c>
      <c r="G7" s="4" t="s">
        <v>33</v>
      </c>
      <c r="H7" s="4" t="s">
        <v>40</v>
      </c>
      <c r="I7" s="4"/>
      <c r="J7" s="4"/>
    </row>
    <row r="8" spans="1:10" ht="30" customHeight="1" x14ac:dyDescent="0.25">
      <c r="A8" s="4" t="s">
        <v>733</v>
      </c>
      <c r="B8" s="4" t="s">
        <v>705</v>
      </c>
      <c r="C8" s="4" t="s">
        <v>734</v>
      </c>
      <c r="D8" s="4" t="s">
        <v>735</v>
      </c>
      <c r="E8" s="4" t="s">
        <v>472</v>
      </c>
      <c r="F8" s="4" t="s">
        <v>641</v>
      </c>
      <c r="G8" s="4" t="s">
        <v>31</v>
      </c>
      <c r="H8" s="4" t="s">
        <v>40</v>
      </c>
      <c r="I8" s="4"/>
      <c r="J8" s="4"/>
    </row>
    <row r="9" spans="1:10" ht="30" customHeight="1" x14ac:dyDescent="0.25">
      <c r="A9" s="4" t="s">
        <v>736</v>
      </c>
      <c r="B9" s="4" t="s">
        <v>705</v>
      </c>
      <c r="C9" s="4" t="s">
        <v>737</v>
      </c>
      <c r="D9" s="4" t="s">
        <v>67</v>
      </c>
      <c r="E9" s="4" t="s">
        <v>738</v>
      </c>
      <c r="F9" s="4" t="s">
        <v>739</v>
      </c>
      <c r="G9" s="4" t="s">
        <v>31</v>
      </c>
      <c r="H9" s="4" t="s">
        <v>40</v>
      </c>
      <c r="I9" s="4"/>
      <c r="J9" s="4"/>
    </row>
    <row r="10" spans="1:10" ht="30" customHeight="1" x14ac:dyDescent="0.25">
      <c r="A10" s="4" t="s">
        <v>740</v>
      </c>
      <c r="B10" s="4" t="s">
        <v>705</v>
      </c>
      <c r="C10" s="4" t="s">
        <v>741</v>
      </c>
      <c r="D10" s="4" t="s">
        <v>647</v>
      </c>
      <c r="E10" s="4" t="s">
        <v>742</v>
      </c>
      <c r="F10" s="4" t="s">
        <v>743</v>
      </c>
      <c r="G10" s="4" t="s">
        <v>31</v>
      </c>
      <c r="H10" s="4" t="s">
        <v>40</v>
      </c>
      <c r="I10" s="4"/>
      <c r="J10" s="4"/>
    </row>
    <row r="11" spans="1:10" ht="30" customHeight="1" x14ac:dyDescent="0.25">
      <c r="A11" s="4" t="s">
        <v>744</v>
      </c>
      <c r="B11" s="4" t="s">
        <v>705</v>
      </c>
      <c r="C11" s="4" t="s">
        <v>745</v>
      </c>
      <c r="D11" s="4" t="s">
        <v>746</v>
      </c>
      <c r="E11" s="4" t="s">
        <v>747</v>
      </c>
      <c r="F11" s="4" t="s">
        <v>748</v>
      </c>
      <c r="G11" s="4" t="s">
        <v>33</v>
      </c>
      <c r="H11" s="4" t="s">
        <v>40</v>
      </c>
      <c r="I11" s="4"/>
      <c r="J11" s="4"/>
    </row>
    <row r="12" spans="1:10" ht="30" customHeight="1" x14ac:dyDescent="0.25">
      <c r="A12" s="4" t="s">
        <v>749</v>
      </c>
      <c r="B12" s="4" t="s">
        <v>705</v>
      </c>
      <c r="C12" s="4" t="s">
        <v>750</v>
      </c>
      <c r="D12" s="4" t="s">
        <v>583</v>
      </c>
      <c r="E12" s="4" t="s">
        <v>751</v>
      </c>
      <c r="F12" s="4" t="s">
        <v>752</v>
      </c>
      <c r="G12" s="4" t="s">
        <v>33</v>
      </c>
      <c r="H12" s="4" t="s">
        <v>40</v>
      </c>
      <c r="I12" s="4"/>
      <c r="J12" s="4"/>
    </row>
    <row r="13" spans="1:10" ht="30" customHeight="1" x14ac:dyDescent="0.25">
      <c r="A13" s="4" t="s">
        <v>753</v>
      </c>
      <c r="B13" s="4" t="s">
        <v>705</v>
      </c>
      <c r="C13" s="4" t="s">
        <v>754</v>
      </c>
      <c r="D13" s="4" t="s">
        <v>755</v>
      </c>
      <c r="E13" s="4" t="s">
        <v>756</v>
      </c>
      <c r="F13" s="4" t="s">
        <v>757</v>
      </c>
      <c r="G13" s="4" t="s">
        <v>31</v>
      </c>
      <c r="H13" s="4" t="s">
        <v>40</v>
      </c>
      <c r="I13" s="4"/>
      <c r="J13" s="4"/>
    </row>
    <row r="14" spans="1:10" ht="30" customHeight="1" x14ac:dyDescent="0.25">
      <c r="A14" s="4" t="s">
        <v>758</v>
      </c>
      <c r="B14" s="4" t="s">
        <v>705</v>
      </c>
      <c r="C14" s="4" t="s">
        <v>759</v>
      </c>
      <c r="D14" s="4" t="s">
        <v>760</v>
      </c>
      <c r="E14" s="4" t="s">
        <v>761</v>
      </c>
      <c r="F14" s="4" t="s">
        <v>762</v>
      </c>
      <c r="G14" s="4" t="s">
        <v>33</v>
      </c>
      <c r="H14" s="4" t="s">
        <v>40</v>
      </c>
      <c r="I14" s="4"/>
      <c r="J14" s="4"/>
    </row>
    <row r="15" spans="1:10" ht="30" customHeight="1" x14ac:dyDescent="0.25">
      <c r="A15" s="4" t="s">
        <v>763</v>
      </c>
      <c r="B15" s="4" t="s">
        <v>705</v>
      </c>
      <c r="C15" s="4" t="s">
        <v>764</v>
      </c>
      <c r="D15" s="4" t="s">
        <v>765</v>
      </c>
      <c r="E15" s="4" t="s">
        <v>766</v>
      </c>
      <c r="F15" s="4" t="s">
        <v>767</v>
      </c>
      <c r="G15" s="4" t="s">
        <v>33</v>
      </c>
      <c r="H15" s="4" t="s">
        <v>40</v>
      </c>
      <c r="I15" s="4"/>
      <c r="J15" s="4"/>
    </row>
    <row r="16" spans="1:10" x14ac:dyDescent="0.25">
      <c r="A16" s="4" t="s">
        <v>768</v>
      </c>
      <c r="B16" s="4" t="s">
        <v>705</v>
      </c>
      <c r="C16" s="4" t="s">
        <v>769</v>
      </c>
      <c r="D16" s="4" t="s">
        <v>770</v>
      </c>
      <c r="E16" s="4" t="s">
        <v>771</v>
      </c>
      <c r="F16" s="4" t="s">
        <v>772</v>
      </c>
      <c r="G16" s="4" t="s">
        <v>37</v>
      </c>
      <c r="H16" s="4" t="s">
        <v>40</v>
      </c>
      <c r="I16" s="4"/>
      <c r="J16" s="4"/>
    </row>
    <row r="17" spans="1:10" x14ac:dyDescent="0.25">
      <c r="A17" s="4" t="s">
        <v>773</v>
      </c>
      <c r="B17" s="4" t="s">
        <v>705</v>
      </c>
      <c r="C17" s="4" t="s">
        <v>679</v>
      </c>
      <c r="D17" s="4" t="s">
        <v>347</v>
      </c>
      <c r="E17" s="4" t="s">
        <v>707</v>
      </c>
      <c r="F17" s="4" t="s">
        <v>774</v>
      </c>
      <c r="G17" s="4" t="s">
        <v>33</v>
      </c>
      <c r="H17" s="4" t="s">
        <v>40</v>
      </c>
      <c r="I17" s="4"/>
      <c r="J17" s="4"/>
    </row>
    <row r="18" spans="1:10" ht="30" customHeight="1" x14ac:dyDescent="0.25">
      <c r="A18" s="4" t="s">
        <v>775</v>
      </c>
      <c r="B18" s="4" t="s">
        <v>705</v>
      </c>
      <c r="C18" s="4" t="s">
        <v>776</v>
      </c>
      <c r="D18" s="4" t="s">
        <v>777</v>
      </c>
      <c r="E18" s="4" t="s">
        <v>778</v>
      </c>
      <c r="F18" s="4" t="s">
        <v>779</v>
      </c>
      <c r="G18" s="4" t="s">
        <v>35</v>
      </c>
      <c r="H18" s="4" t="s">
        <v>40</v>
      </c>
      <c r="I18" s="4"/>
      <c r="J18" s="4"/>
    </row>
    <row r="19" spans="1:10" ht="45" customHeight="1" x14ac:dyDescent="0.25">
      <c r="A19" s="4" t="s">
        <v>780</v>
      </c>
      <c r="B19" s="4" t="s">
        <v>705</v>
      </c>
      <c r="C19" s="4" t="s">
        <v>781</v>
      </c>
      <c r="D19" s="4" t="s">
        <v>245</v>
      </c>
      <c r="E19" s="4" t="s">
        <v>782</v>
      </c>
      <c r="F19" s="4" t="s">
        <v>783</v>
      </c>
      <c r="G19" s="4" t="s">
        <v>31</v>
      </c>
      <c r="H19" s="4" t="s">
        <v>40</v>
      </c>
      <c r="I19" s="4"/>
      <c r="J19" s="4"/>
    </row>
    <row r="20" spans="1:10" ht="30" customHeight="1" x14ac:dyDescent="0.25">
      <c r="A20" s="4" t="s">
        <v>784</v>
      </c>
      <c r="B20" s="4" t="s">
        <v>705</v>
      </c>
      <c r="C20" s="4" t="s">
        <v>785</v>
      </c>
      <c r="D20" s="4" t="s">
        <v>786</v>
      </c>
      <c r="E20" s="4" t="s">
        <v>787</v>
      </c>
      <c r="F20" s="4" t="s">
        <v>788</v>
      </c>
      <c r="G20" s="4" t="s">
        <v>35</v>
      </c>
      <c r="H20" s="4" t="s">
        <v>40</v>
      </c>
      <c r="I20" s="4"/>
      <c r="J20" s="4"/>
    </row>
  </sheetData>
  <autoFilter ref="A1:J20" xr:uid="{00000000-0009-0000-0000-000007000000}"/>
  <dataValidations count="3">
    <dataValidation type="list" allowBlank="1" errorTitle="Resultado inválido" error="Seleccione: Pasa, Falla, Bloqueado o Pendiente" sqref="I2:I20" xr:uid="{00000000-0002-0000-0700-000000000000}">
      <formula1>"Pasa,Falla,Bloqueado,Pendiente"</formula1>
    </dataValidation>
    <dataValidation type="list" allowBlank="1" errorTitle="Prioridad inválida" error="Seleccione: Crítica, Alta, Media o Baja" sqref="G2:G20" xr:uid="{00000000-0002-0000-0700-000001000000}">
      <formula1>"Crítica,Alta,Media,Baja"</formula1>
    </dataValidation>
    <dataValidation type="list" allowBlank="1" errorTitle="Tipo inválido" error="Seleccione: Real o Simulado" sqref="H2:H20" xr:uid="{00000000-0002-0000-0700-000002000000}">
      <formula1>"Real,Simulado"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45" customHeight="1" x14ac:dyDescent="0.25">
      <c r="A2" s="4" t="s">
        <v>789</v>
      </c>
      <c r="B2" s="4" t="s">
        <v>790</v>
      </c>
      <c r="C2" s="4" t="s">
        <v>791</v>
      </c>
      <c r="D2" s="4" t="s">
        <v>168</v>
      </c>
      <c r="E2" s="4" t="s">
        <v>792</v>
      </c>
      <c r="F2" s="4" t="s">
        <v>793</v>
      </c>
      <c r="G2" s="4" t="s">
        <v>31</v>
      </c>
      <c r="H2" s="4" t="s">
        <v>40</v>
      </c>
      <c r="I2" s="4"/>
      <c r="J2" s="4"/>
    </row>
    <row r="3" spans="1:10" x14ac:dyDescent="0.25">
      <c r="A3" s="4" t="s">
        <v>794</v>
      </c>
      <c r="B3" s="4" t="s">
        <v>790</v>
      </c>
      <c r="C3" s="4" t="s">
        <v>795</v>
      </c>
      <c r="D3" s="4" t="s">
        <v>796</v>
      </c>
      <c r="E3" s="4" t="s">
        <v>797</v>
      </c>
      <c r="F3" s="4" t="s">
        <v>798</v>
      </c>
      <c r="G3" s="4" t="s">
        <v>33</v>
      </c>
      <c r="H3" s="4" t="s">
        <v>40</v>
      </c>
      <c r="I3" s="4"/>
      <c r="J3" s="4"/>
    </row>
    <row r="4" spans="1:10" ht="30" customHeight="1" x14ac:dyDescent="0.25">
      <c r="A4" s="4" t="s">
        <v>799</v>
      </c>
      <c r="B4" s="4" t="s">
        <v>790</v>
      </c>
      <c r="C4" s="4" t="s">
        <v>800</v>
      </c>
      <c r="D4" s="4" t="s">
        <v>801</v>
      </c>
      <c r="E4" s="4" t="s">
        <v>802</v>
      </c>
      <c r="F4" s="4" t="s">
        <v>803</v>
      </c>
      <c r="G4" s="4" t="s">
        <v>35</v>
      </c>
      <c r="H4" s="4" t="s">
        <v>40</v>
      </c>
      <c r="I4" s="4"/>
      <c r="J4" s="4"/>
    </row>
    <row r="5" spans="1:10" x14ac:dyDescent="0.25">
      <c r="A5" s="4" t="s">
        <v>804</v>
      </c>
      <c r="B5" s="4" t="s">
        <v>790</v>
      </c>
      <c r="C5" s="4" t="s">
        <v>805</v>
      </c>
      <c r="D5" s="4" t="s">
        <v>806</v>
      </c>
      <c r="E5" s="4" t="s">
        <v>792</v>
      </c>
      <c r="F5" s="4" t="s">
        <v>807</v>
      </c>
      <c r="G5" s="4" t="s">
        <v>35</v>
      </c>
      <c r="H5" s="4" t="s">
        <v>40</v>
      </c>
      <c r="I5" s="4"/>
      <c r="J5" s="4"/>
    </row>
    <row r="6" spans="1:10" ht="60" customHeight="1" x14ac:dyDescent="0.25">
      <c r="A6" s="4" t="s">
        <v>808</v>
      </c>
      <c r="B6" s="4" t="s">
        <v>790</v>
      </c>
      <c r="C6" s="4" t="s">
        <v>809</v>
      </c>
      <c r="D6" s="4" t="s">
        <v>810</v>
      </c>
      <c r="E6" s="4" t="s">
        <v>811</v>
      </c>
      <c r="F6" s="4" t="s">
        <v>812</v>
      </c>
      <c r="G6" s="4" t="s">
        <v>31</v>
      </c>
      <c r="H6" s="4" t="s">
        <v>40</v>
      </c>
      <c r="I6" s="4"/>
      <c r="J6" s="4"/>
    </row>
    <row r="7" spans="1:10" ht="45" customHeight="1" x14ac:dyDescent="0.25">
      <c r="A7" s="4" t="s">
        <v>813</v>
      </c>
      <c r="B7" s="4" t="s">
        <v>790</v>
      </c>
      <c r="C7" s="4" t="s">
        <v>814</v>
      </c>
      <c r="D7" s="4" t="s">
        <v>806</v>
      </c>
      <c r="E7" s="4" t="s">
        <v>815</v>
      </c>
      <c r="F7" s="4" t="s">
        <v>816</v>
      </c>
      <c r="G7" s="4" t="s">
        <v>31</v>
      </c>
      <c r="H7" s="4" t="s">
        <v>40</v>
      </c>
      <c r="I7" s="4"/>
      <c r="J7" s="4"/>
    </row>
    <row r="8" spans="1:10" ht="30" customHeight="1" x14ac:dyDescent="0.25">
      <c r="A8" s="4" t="s">
        <v>817</v>
      </c>
      <c r="B8" s="4" t="s">
        <v>790</v>
      </c>
      <c r="C8" s="4" t="s">
        <v>818</v>
      </c>
      <c r="D8" s="4" t="s">
        <v>168</v>
      </c>
      <c r="E8" s="4" t="s">
        <v>819</v>
      </c>
      <c r="F8" s="4" t="s">
        <v>820</v>
      </c>
      <c r="G8" s="4" t="s">
        <v>33</v>
      </c>
      <c r="H8" s="4" t="s">
        <v>40</v>
      </c>
      <c r="I8" s="4"/>
      <c r="J8" s="4"/>
    </row>
    <row r="9" spans="1:10" ht="30" customHeight="1" x14ac:dyDescent="0.25">
      <c r="A9" s="4" t="s">
        <v>821</v>
      </c>
      <c r="B9" s="4" t="s">
        <v>790</v>
      </c>
      <c r="C9" s="4" t="s">
        <v>822</v>
      </c>
      <c r="D9" s="4" t="s">
        <v>823</v>
      </c>
      <c r="E9" s="4" t="s">
        <v>819</v>
      </c>
      <c r="F9" s="4" t="s">
        <v>824</v>
      </c>
      <c r="G9" s="4" t="s">
        <v>31</v>
      </c>
      <c r="H9" s="4" t="s">
        <v>40</v>
      </c>
      <c r="I9" s="4"/>
      <c r="J9" s="4"/>
    </row>
    <row r="10" spans="1:10" ht="30" customHeight="1" x14ac:dyDescent="0.25">
      <c r="A10" s="4" t="s">
        <v>825</v>
      </c>
      <c r="B10" s="4" t="s">
        <v>790</v>
      </c>
      <c r="C10" s="4" t="s">
        <v>826</v>
      </c>
      <c r="D10" s="4" t="s">
        <v>827</v>
      </c>
      <c r="E10" s="4" t="s">
        <v>819</v>
      </c>
      <c r="F10" s="4" t="s">
        <v>828</v>
      </c>
      <c r="G10" s="4" t="s">
        <v>33</v>
      </c>
      <c r="H10" s="4" t="s">
        <v>40</v>
      </c>
      <c r="I10" s="4"/>
      <c r="J10" s="4"/>
    </row>
    <row r="11" spans="1:10" ht="30" customHeight="1" x14ac:dyDescent="0.25">
      <c r="A11" s="4" t="s">
        <v>829</v>
      </c>
      <c r="B11" s="4" t="s">
        <v>790</v>
      </c>
      <c r="C11" s="4" t="s">
        <v>830</v>
      </c>
      <c r="D11" s="4" t="s">
        <v>831</v>
      </c>
      <c r="E11" s="4" t="s">
        <v>819</v>
      </c>
      <c r="F11" s="4" t="s">
        <v>832</v>
      </c>
      <c r="G11" s="4" t="s">
        <v>33</v>
      </c>
      <c r="H11" s="4" t="s">
        <v>40</v>
      </c>
      <c r="I11" s="4"/>
      <c r="J11" s="4"/>
    </row>
    <row r="12" spans="1:10" ht="30" customHeight="1" x14ac:dyDescent="0.25">
      <c r="A12" s="4" t="s">
        <v>833</v>
      </c>
      <c r="B12" s="4" t="s">
        <v>790</v>
      </c>
      <c r="C12" s="4" t="s">
        <v>834</v>
      </c>
      <c r="D12" s="4" t="s">
        <v>806</v>
      </c>
      <c r="E12" s="4" t="s">
        <v>835</v>
      </c>
      <c r="F12" s="4" t="s">
        <v>836</v>
      </c>
      <c r="G12" s="4" t="s">
        <v>31</v>
      </c>
      <c r="H12" s="4" t="s">
        <v>40</v>
      </c>
      <c r="I12" s="4"/>
      <c r="J12" s="4"/>
    </row>
    <row r="13" spans="1:10" ht="30" customHeight="1" x14ac:dyDescent="0.25">
      <c r="A13" s="4" t="s">
        <v>837</v>
      </c>
      <c r="B13" s="4" t="s">
        <v>790</v>
      </c>
      <c r="C13" s="4" t="s">
        <v>838</v>
      </c>
      <c r="D13" s="4" t="s">
        <v>839</v>
      </c>
      <c r="E13" s="4" t="s">
        <v>840</v>
      </c>
      <c r="F13" s="4" t="s">
        <v>841</v>
      </c>
      <c r="G13" s="4" t="s">
        <v>33</v>
      </c>
      <c r="H13" s="4" t="s">
        <v>40</v>
      </c>
      <c r="I13" s="4"/>
      <c r="J13" s="4"/>
    </row>
    <row r="14" spans="1:10" ht="45" customHeight="1" x14ac:dyDescent="0.25">
      <c r="A14" s="4" t="s">
        <v>842</v>
      </c>
      <c r="B14" s="4" t="s">
        <v>790</v>
      </c>
      <c r="C14" s="4" t="s">
        <v>843</v>
      </c>
      <c r="D14" s="4" t="s">
        <v>844</v>
      </c>
      <c r="E14" s="4" t="s">
        <v>845</v>
      </c>
      <c r="F14" s="4" t="s">
        <v>846</v>
      </c>
      <c r="G14" s="4" t="s">
        <v>33</v>
      </c>
      <c r="H14" s="4" t="s">
        <v>40</v>
      </c>
      <c r="I14" s="4"/>
      <c r="J14" s="4"/>
    </row>
    <row r="15" spans="1:10" x14ac:dyDescent="0.25">
      <c r="A15" s="4" t="s">
        <v>847</v>
      </c>
      <c r="B15" s="4" t="s">
        <v>790</v>
      </c>
      <c r="C15" s="4" t="s">
        <v>848</v>
      </c>
      <c r="D15" s="4" t="s">
        <v>849</v>
      </c>
      <c r="E15" s="4" t="s">
        <v>850</v>
      </c>
      <c r="F15" s="4" t="s">
        <v>851</v>
      </c>
      <c r="G15" s="4" t="s">
        <v>37</v>
      </c>
      <c r="H15" s="4" t="s">
        <v>40</v>
      </c>
      <c r="I15" s="4"/>
      <c r="J15" s="4"/>
    </row>
    <row r="16" spans="1:10" x14ac:dyDescent="0.25">
      <c r="A16" s="4" t="s">
        <v>852</v>
      </c>
      <c r="B16" s="4" t="s">
        <v>790</v>
      </c>
      <c r="C16" s="4" t="s">
        <v>853</v>
      </c>
      <c r="D16" s="4" t="s">
        <v>168</v>
      </c>
      <c r="E16" s="4" t="s">
        <v>854</v>
      </c>
      <c r="F16" s="4" t="s">
        <v>855</v>
      </c>
      <c r="G16" s="4" t="s">
        <v>35</v>
      </c>
      <c r="H16" s="4" t="s">
        <v>40</v>
      </c>
      <c r="I16" s="4"/>
      <c r="J16" s="4"/>
    </row>
    <row r="17" spans="1:10" ht="45" customHeight="1" x14ac:dyDescent="0.25">
      <c r="A17" s="4" t="s">
        <v>856</v>
      </c>
      <c r="B17" s="4" t="s">
        <v>790</v>
      </c>
      <c r="C17" s="4" t="s">
        <v>857</v>
      </c>
      <c r="D17" s="4" t="s">
        <v>289</v>
      </c>
      <c r="E17" s="4" t="s">
        <v>858</v>
      </c>
      <c r="F17" s="4" t="s">
        <v>859</v>
      </c>
      <c r="G17" s="4" t="s">
        <v>35</v>
      </c>
      <c r="H17" s="4" t="s">
        <v>40</v>
      </c>
      <c r="I17" s="4"/>
      <c r="J17" s="4"/>
    </row>
    <row r="18" spans="1:10" ht="30" customHeight="1" x14ac:dyDescent="0.25">
      <c r="A18" s="4" t="s">
        <v>860</v>
      </c>
      <c r="B18" s="4" t="s">
        <v>790</v>
      </c>
      <c r="C18" s="4" t="s">
        <v>861</v>
      </c>
      <c r="D18" s="4" t="s">
        <v>168</v>
      </c>
      <c r="E18" s="4" t="s">
        <v>862</v>
      </c>
      <c r="F18" s="4" t="s">
        <v>863</v>
      </c>
      <c r="G18" s="4" t="s">
        <v>33</v>
      </c>
      <c r="H18" s="4" t="s">
        <v>40</v>
      </c>
      <c r="I18" s="4"/>
      <c r="J18" s="4"/>
    </row>
    <row r="19" spans="1:10" ht="45" customHeight="1" x14ac:dyDescent="0.25">
      <c r="A19" s="4" t="s">
        <v>864</v>
      </c>
      <c r="B19" s="4" t="s">
        <v>790</v>
      </c>
      <c r="C19" s="4" t="s">
        <v>865</v>
      </c>
      <c r="D19" s="4" t="s">
        <v>245</v>
      </c>
      <c r="E19" s="4" t="s">
        <v>866</v>
      </c>
      <c r="F19" s="4" t="s">
        <v>867</v>
      </c>
      <c r="G19" s="4" t="s">
        <v>37</v>
      </c>
      <c r="H19" s="4" t="s">
        <v>40</v>
      </c>
      <c r="I19" s="4"/>
      <c r="J19" s="4"/>
    </row>
    <row r="20" spans="1:10" ht="45" customHeight="1" x14ac:dyDescent="0.25">
      <c r="A20" s="4" t="s">
        <v>868</v>
      </c>
      <c r="B20" s="4" t="s">
        <v>790</v>
      </c>
      <c r="C20" s="4" t="s">
        <v>869</v>
      </c>
      <c r="D20" s="4" t="s">
        <v>870</v>
      </c>
      <c r="E20" s="4" t="s">
        <v>871</v>
      </c>
      <c r="F20" s="4" t="s">
        <v>872</v>
      </c>
      <c r="G20" s="4" t="s">
        <v>33</v>
      </c>
      <c r="H20" s="4" t="s">
        <v>40</v>
      </c>
      <c r="I20" s="4"/>
      <c r="J20" s="4"/>
    </row>
    <row r="21" spans="1:10" ht="30" customHeight="1" x14ac:dyDescent="0.25">
      <c r="A21" s="4" t="s">
        <v>873</v>
      </c>
      <c r="B21" s="4" t="s">
        <v>790</v>
      </c>
      <c r="C21" s="4" t="s">
        <v>874</v>
      </c>
      <c r="D21" s="4" t="s">
        <v>814</v>
      </c>
      <c r="E21" s="4" t="s">
        <v>875</v>
      </c>
      <c r="F21" s="4" t="s">
        <v>876</v>
      </c>
      <c r="G21" s="4" t="s">
        <v>31</v>
      </c>
      <c r="H21" s="4" t="s">
        <v>40</v>
      </c>
      <c r="I21" s="4"/>
      <c r="J21" s="4"/>
    </row>
    <row r="22" spans="1:10" ht="30" customHeight="1" x14ac:dyDescent="0.25">
      <c r="A22" s="4" t="s">
        <v>877</v>
      </c>
      <c r="B22" s="4" t="s">
        <v>790</v>
      </c>
      <c r="C22" s="4" t="s">
        <v>878</v>
      </c>
      <c r="D22" s="4" t="s">
        <v>879</v>
      </c>
      <c r="E22" s="4" t="s">
        <v>875</v>
      </c>
      <c r="F22" s="4" t="s">
        <v>880</v>
      </c>
      <c r="G22" s="4" t="s">
        <v>31</v>
      </c>
      <c r="H22" s="4" t="s">
        <v>40</v>
      </c>
      <c r="I22" s="4"/>
      <c r="J22" s="4"/>
    </row>
    <row r="23" spans="1:10" x14ac:dyDescent="0.25">
      <c r="A23" s="4" t="s">
        <v>881</v>
      </c>
      <c r="B23" s="4" t="s">
        <v>790</v>
      </c>
      <c r="C23" s="4" t="s">
        <v>679</v>
      </c>
      <c r="D23" s="4" t="s">
        <v>347</v>
      </c>
      <c r="E23" s="4" t="s">
        <v>792</v>
      </c>
      <c r="F23" s="4" t="s">
        <v>882</v>
      </c>
      <c r="G23" s="4" t="s">
        <v>33</v>
      </c>
      <c r="H23" s="4" t="s">
        <v>40</v>
      </c>
      <c r="I23" s="4"/>
      <c r="J23" s="4"/>
    </row>
    <row r="24" spans="1:10" x14ac:dyDescent="0.25">
      <c r="A24" s="4" t="s">
        <v>883</v>
      </c>
      <c r="B24" s="4" t="s">
        <v>790</v>
      </c>
      <c r="C24" s="4" t="s">
        <v>884</v>
      </c>
      <c r="D24" s="4" t="s">
        <v>885</v>
      </c>
      <c r="E24" s="4" t="s">
        <v>726</v>
      </c>
      <c r="F24" s="4" t="s">
        <v>886</v>
      </c>
      <c r="G24" s="4" t="s">
        <v>37</v>
      </c>
      <c r="H24" s="4" t="s">
        <v>40</v>
      </c>
      <c r="I24" s="4"/>
      <c r="J24" s="4"/>
    </row>
    <row r="25" spans="1:10" ht="30" customHeight="1" x14ac:dyDescent="0.25">
      <c r="A25" s="4" t="s">
        <v>887</v>
      </c>
      <c r="B25" s="4" t="s">
        <v>790</v>
      </c>
      <c r="C25" s="4" t="s">
        <v>888</v>
      </c>
      <c r="D25" s="4" t="s">
        <v>889</v>
      </c>
      <c r="E25" s="4" t="s">
        <v>890</v>
      </c>
      <c r="F25" s="4" t="s">
        <v>891</v>
      </c>
      <c r="G25" s="4" t="s">
        <v>37</v>
      </c>
      <c r="H25" s="4" t="s">
        <v>40</v>
      </c>
      <c r="I25" s="4"/>
      <c r="J25" s="4"/>
    </row>
    <row r="26" spans="1:10" ht="60" customHeight="1" x14ac:dyDescent="0.25">
      <c r="A26" s="4" t="s">
        <v>892</v>
      </c>
      <c r="B26" s="4" t="s">
        <v>790</v>
      </c>
      <c r="C26" s="4" t="s">
        <v>893</v>
      </c>
      <c r="D26" s="4" t="s">
        <v>894</v>
      </c>
      <c r="E26" s="4" t="s">
        <v>895</v>
      </c>
      <c r="F26" s="4" t="s">
        <v>896</v>
      </c>
      <c r="G26" s="4" t="s">
        <v>33</v>
      </c>
      <c r="H26" s="4" t="s">
        <v>40</v>
      </c>
      <c r="I26" s="4"/>
      <c r="J26" s="4"/>
    </row>
    <row r="27" spans="1:10" ht="60" customHeight="1" x14ac:dyDescent="0.25">
      <c r="A27" s="4" t="s">
        <v>897</v>
      </c>
      <c r="B27" s="4" t="s">
        <v>790</v>
      </c>
      <c r="C27" s="4" t="s">
        <v>898</v>
      </c>
      <c r="D27" s="4" t="s">
        <v>899</v>
      </c>
      <c r="E27" s="4" t="s">
        <v>900</v>
      </c>
      <c r="F27" s="4" t="s">
        <v>901</v>
      </c>
      <c r="G27" s="4" t="s">
        <v>35</v>
      </c>
      <c r="H27" s="4" t="s">
        <v>40</v>
      </c>
      <c r="I27" s="4"/>
      <c r="J27" s="4"/>
    </row>
    <row r="28" spans="1:10" ht="30" customHeight="1" x14ac:dyDescent="0.25">
      <c r="A28" s="4" t="s">
        <v>902</v>
      </c>
      <c r="B28" s="4" t="s">
        <v>790</v>
      </c>
      <c r="C28" s="4" t="s">
        <v>903</v>
      </c>
      <c r="D28" s="4" t="s">
        <v>801</v>
      </c>
      <c r="E28" s="4" t="s">
        <v>904</v>
      </c>
      <c r="F28" s="4" t="s">
        <v>905</v>
      </c>
      <c r="G28" s="4" t="s">
        <v>37</v>
      </c>
      <c r="H28" s="4" t="s">
        <v>40</v>
      </c>
      <c r="I28" s="4"/>
      <c r="J28" s="4"/>
    </row>
  </sheetData>
  <autoFilter ref="A1:J28" xr:uid="{00000000-0009-0000-0000-000008000000}"/>
  <dataValidations count="3">
    <dataValidation type="list" allowBlank="1" errorTitle="Resultado inválido" error="Seleccione: Pasa, Falla, Bloqueado o Pendiente" sqref="I2:I28" xr:uid="{00000000-0002-0000-0800-000000000000}">
      <formula1>"Pasa,Falla,Bloqueado,Pendiente"</formula1>
    </dataValidation>
    <dataValidation type="list" allowBlank="1" errorTitle="Prioridad inválida" error="Seleccione: Crítica, Alta, Media o Baja" sqref="G2:G28" xr:uid="{00000000-0002-0000-0800-000001000000}">
      <formula1>"Crítica,Alta,Media,Baja"</formula1>
    </dataValidation>
    <dataValidation type="list" allowBlank="1" errorTitle="Tipo inválido" error="Seleccione: Real o Simulado" sqref="H2:H28" xr:uid="{00000000-0002-0000-0800-000002000000}">
      <formula1>"Real,Simulado"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60" customHeight="1" x14ac:dyDescent="0.25">
      <c r="A2" s="4" t="s">
        <v>906</v>
      </c>
      <c r="B2" s="4" t="s">
        <v>907</v>
      </c>
      <c r="C2" s="4" t="s">
        <v>908</v>
      </c>
      <c r="D2" s="4" t="s">
        <v>187</v>
      </c>
      <c r="E2" s="4" t="s">
        <v>909</v>
      </c>
      <c r="F2" s="4" t="s">
        <v>910</v>
      </c>
      <c r="G2" s="4" t="s">
        <v>31</v>
      </c>
      <c r="H2" s="4" t="s">
        <v>40</v>
      </c>
      <c r="I2" s="4"/>
      <c r="J2" s="4"/>
    </row>
    <row r="3" spans="1:10" x14ac:dyDescent="0.25">
      <c r="A3" s="4" t="s">
        <v>911</v>
      </c>
      <c r="B3" s="4" t="s">
        <v>907</v>
      </c>
      <c r="C3" s="4" t="s">
        <v>912</v>
      </c>
      <c r="D3" s="4" t="s">
        <v>913</v>
      </c>
      <c r="E3" s="4" t="s">
        <v>914</v>
      </c>
      <c r="F3" s="4" t="s">
        <v>915</v>
      </c>
      <c r="G3" s="4" t="s">
        <v>33</v>
      </c>
      <c r="H3" s="4" t="s">
        <v>40</v>
      </c>
      <c r="I3" s="4"/>
      <c r="J3" s="4"/>
    </row>
    <row r="4" spans="1:10" ht="30" customHeight="1" x14ac:dyDescent="0.25">
      <c r="A4" s="4" t="s">
        <v>916</v>
      </c>
      <c r="B4" s="4" t="s">
        <v>907</v>
      </c>
      <c r="C4" s="4" t="s">
        <v>917</v>
      </c>
      <c r="D4" s="4" t="s">
        <v>918</v>
      </c>
      <c r="E4" s="4" t="s">
        <v>919</v>
      </c>
      <c r="F4" s="4" t="s">
        <v>920</v>
      </c>
      <c r="G4" s="4" t="s">
        <v>33</v>
      </c>
      <c r="H4" s="4" t="s">
        <v>40</v>
      </c>
      <c r="I4" s="4"/>
      <c r="J4" s="4"/>
    </row>
    <row r="5" spans="1:10" ht="45" customHeight="1" x14ac:dyDescent="0.25">
      <c r="A5" s="4" t="s">
        <v>921</v>
      </c>
      <c r="B5" s="4" t="s">
        <v>907</v>
      </c>
      <c r="C5" s="4" t="s">
        <v>922</v>
      </c>
      <c r="D5" s="4" t="s">
        <v>923</v>
      </c>
      <c r="E5" s="4" t="s">
        <v>924</v>
      </c>
      <c r="F5" s="4" t="s">
        <v>925</v>
      </c>
      <c r="G5" s="4" t="s">
        <v>31</v>
      </c>
      <c r="H5" s="4" t="s">
        <v>40</v>
      </c>
      <c r="I5" s="4"/>
      <c r="J5" s="4"/>
    </row>
    <row r="6" spans="1:10" x14ac:dyDescent="0.25">
      <c r="A6" s="4" t="s">
        <v>926</v>
      </c>
      <c r="B6" s="4" t="s">
        <v>907</v>
      </c>
      <c r="C6" s="4" t="s">
        <v>927</v>
      </c>
      <c r="D6" s="4" t="s">
        <v>913</v>
      </c>
      <c r="E6" s="4" t="s">
        <v>928</v>
      </c>
      <c r="F6" s="4" t="s">
        <v>929</v>
      </c>
      <c r="G6" s="4" t="s">
        <v>37</v>
      </c>
      <c r="H6" s="4" t="s">
        <v>40</v>
      </c>
      <c r="I6" s="4"/>
      <c r="J6" s="4"/>
    </row>
    <row r="7" spans="1:10" ht="30" customHeight="1" x14ac:dyDescent="0.25">
      <c r="A7" s="4" t="s">
        <v>930</v>
      </c>
      <c r="B7" s="4" t="s">
        <v>907</v>
      </c>
      <c r="C7" s="4" t="s">
        <v>931</v>
      </c>
      <c r="D7" s="4" t="s">
        <v>913</v>
      </c>
      <c r="E7" s="4" t="s">
        <v>932</v>
      </c>
      <c r="F7" s="4" t="s">
        <v>933</v>
      </c>
      <c r="G7" s="4" t="s">
        <v>37</v>
      </c>
      <c r="H7" s="4" t="s">
        <v>40</v>
      </c>
      <c r="I7" s="4"/>
      <c r="J7" s="4"/>
    </row>
    <row r="8" spans="1:10" ht="30" customHeight="1" x14ac:dyDescent="0.25">
      <c r="A8" s="4" t="s">
        <v>934</v>
      </c>
      <c r="B8" s="4" t="s">
        <v>907</v>
      </c>
      <c r="C8" s="4" t="s">
        <v>935</v>
      </c>
      <c r="D8" s="4" t="s">
        <v>936</v>
      </c>
      <c r="E8" s="4" t="s">
        <v>909</v>
      </c>
      <c r="F8" s="4" t="s">
        <v>937</v>
      </c>
      <c r="G8" s="4" t="s">
        <v>31</v>
      </c>
      <c r="H8" s="4" t="s">
        <v>40</v>
      </c>
      <c r="I8" s="4"/>
      <c r="J8" s="4"/>
    </row>
    <row r="9" spans="1:10" ht="30" customHeight="1" x14ac:dyDescent="0.25">
      <c r="A9" s="4" t="s">
        <v>938</v>
      </c>
      <c r="B9" s="4" t="s">
        <v>907</v>
      </c>
      <c r="C9" s="4" t="s">
        <v>939</v>
      </c>
      <c r="D9" s="4" t="s">
        <v>940</v>
      </c>
      <c r="E9" s="4" t="s">
        <v>941</v>
      </c>
      <c r="F9" s="4" t="s">
        <v>942</v>
      </c>
      <c r="G9" s="4" t="s">
        <v>33</v>
      </c>
      <c r="H9" s="4" t="s">
        <v>40</v>
      </c>
      <c r="I9" s="4"/>
      <c r="J9" s="4"/>
    </row>
    <row r="10" spans="1:10" ht="30" customHeight="1" x14ac:dyDescent="0.25">
      <c r="A10" s="4" t="s">
        <v>943</v>
      </c>
      <c r="B10" s="4" t="s">
        <v>907</v>
      </c>
      <c r="C10" s="4" t="s">
        <v>944</v>
      </c>
      <c r="D10" s="4" t="s">
        <v>945</v>
      </c>
      <c r="E10" s="4" t="s">
        <v>946</v>
      </c>
      <c r="F10" s="4" t="s">
        <v>947</v>
      </c>
      <c r="G10" s="4" t="s">
        <v>31</v>
      </c>
      <c r="H10" s="4" t="s">
        <v>40</v>
      </c>
      <c r="I10" s="4"/>
      <c r="J10" s="4"/>
    </row>
    <row r="11" spans="1:10" ht="30" customHeight="1" x14ac:dyDescent="0.25">
      <c r="A11" s="4" t="s">
        <v>948</v>
      </c>
      <c r="B11" s="4" t="s">
        <v>907</v>
      </c>
      <c r="C11" s="4" t="s">
        <v>949</v>
      </c>
      <c r="D11" s="4" t="s">
        <v>950</v>
      </c>
      <c r="E11" s="4" t="s">
        <v>941</v>
      </c>
      <c r="F11" s="4" t="s">
        <v>951</v>
      </c>
      <c r="G11" s="4" t="s">
        <v>33</v>
      </c>
      <c r="H11" s="4" t="s">
        <v>40</v>
      </c>
      <c r="I11" s="4"/>
      <c r="J11" s="4"/>
    </row>
    <row r="12" spans="1:10" x14ac:dyDescent="0.25">
      <c r="A12" s="4" t="s">
        <v>952</v>
      </c>
      <c r="B12" s="4" t="s">
        <v>907</v>
      </c>
      <c r="C12" s="4" t="s">
        <v>953</v>
      </c>
      <c r="D12" s="4" t="s">
        <v>281</v>
      </c>
      <c r="E12" s="4" t="s">
        <v>472</v>
      </c>
      <c r="F12" s="4" t="s">
        <v>641</v>
      </c>
      <c r="G12" s="4" t="s">
        <v>31</v>
      </c>
      <c r="H12" s="4" t="s">
        <v>40</v>
      </c>
      <c r="I12" s="4"/>
      <c r="J12" s="4"/>
    </row>
    <row r="13" spans="1:10" ht="30" customHeight="1" x14ac:dyDescent="0.25">
      <c r="A13" s="4" t="s">
        <v>954</v>
      </c>
      <c r="B13" s="4" t="s">
        <v>907</v>
      </c>
      <c r="C13" s="4" t="s">
        <v>955</v>
      </c>
      <c r="D13" s="4" t="s">
        <v>67</v>
      </c>
      <c r="E13" s="4" t="s">
        <v>956</v>
      </c>
      <c r="F13" s="4" t="s">
        <v>957</v>
      </c>
      <c r="G13" s="4" t="s">
        <v>33</v>
      </c>
      <c r="H13" s="4" t="s">
        <v>40</v>
      </c>
      <c r="I13" s="4"/>
      <c r="J13" s="4"/>
    </row>
    <row r="14" spans="1:10" ht="60" customHeight="1" x14ac:dyDescent="0.25">
      <c r="A14" s="4" t="s">
        <v>958</v>
      </c>
      <c r="B14" s="4" t="s">
        <v>907</v>
      </c>
      <c r="C14" s="4" t="s">
        <v>959</v>
      </c>
      <c r="D14" s="4" t="s">
        <v>960</v>
      </c>
      <c r="E14" s="4" t="s">
        <v>961</v>
      </c>
      <c r="F14" s="4" t="s">
        <v>962</v>
      </c>
      <c r="G14" s="4" t="s">
        <v>33</v>
      </c>
      <c r="H14" s="4" t="s">
        <v>40</v>
      </c>
      <c r="I14" s="4"/>
      <c r="J14" s="4"/>
    </row>
    <row r="15" spans="1:10" ht="60" customHeight="1" x14ac:dyDescent="0.25">
      <c r="A15" s="4" t="s">
        <v>963</v>
      </c>
      <c r="B15" s="4" t="s">
        <v>907</v>
      </c>
      <c r="C15" s="4" t="s">
        <v>964</v>
      </c>
      <c r="D15" s="4" t="s">
        <v>965</v>
      </c>
      <c r="E15" s="4" t="s">
        <v>966</v>
      </c>
      <c r="F15" s="4" t="s">
        <v>967</v>
      </c>
      <c r="G15" s="4" t="s">
        <v>33</v>
      </c>
      <c r="H15" s="4" t="s">
        <v>40</v>
      </c>
      <c r="I15" s="4"/>
      <c r="J15" s="4"/>
    </row>
    <row r="16" spans="1:10" ht="30" customHeight="1" x14ac:dyDescent="0.25">
      <c r="A16" s="4" t="s">
        <v>968</v>
      </c>
      <c r="B16" s="4" t="s">
        <v>907</v>
      </c>
      <c r="C16" s="4" t="s">
        <v>969</v>
      </c>
      <c r="D16" s="4" t="s">
        <v>970</v>
      </c>
      <c r="E16" s="4" t="s">
        <v>971</v>
      </c>
      <c r="F16" s="4" t="s">
        <v>972</v>
      </c>
      <c r="G16" s="4" t="s">
        <v>37</v>
      </c>
      <c r="H16" s="4" t="s">
        <v>40</v>
      </c>
      <c r="I16" s="4"/>
      <c r="J16" s="4"/>
    </row>
    <row r="17" spans="1:10" ht="30" customHeight="1" x14ac:dyDescent="0.25">
      <c r="A17" s="4" t="s">
        <v>973</v>
      </c>
      <c r="B17" s="4" t="s">
        <v>907</v>
      </c>
      <c r="C17" s="4" t="s">
        <v>974</v>
      </c>
      <c r="D17" s="4" t="s">
        <v>975</v>
      </c>
      <c r="E17" s="4" t="s">
        <v>976</v>
      </c>
      <c r="F17" s="4" t="s">
        <v>977</v>
      </c>
      <c r="G17" s="4" t="s">
        <v>33</v>
      </c>
      <c r="H17" s="4" t="s">
        <v>40</v>
      </c>
      <c r="I17" s="4"/>
      <c r="J17" s="4"/>
    </row>
    <row r="18" spans="1:10" ht="30" customHeight="1" x14ac:dyDescent="0.25">
      <c r="A18" s="4" t="s">
        <v>978</v>
      </c>
      <c r="B18" s="4" t="s">
        <v>907</v>
      </c>
      <c r="C18" s="4" t="s">
        <v>979</v>
      </c>
      <c r="D18" s="4" t="s">
        <v>980</v>
      </c>
      <c r="E18" s="4" t="s">
        <v>961</v>
      </c>
      <c r="F18" s="4" t="s">
        <v>981</v>
      </c>
      <c r="G18" s="4" t="s">
        <v>31</v>
      </c>
      <c r="H18" s="4" t="s">
        <v>40</v>
      </c>
      <c r="I18" s="4"/>
      <c r="J18" s="4"/>
    </row>
    <row r="19" spans="1:10" ht="30" customHeight="1" x14ac:dyDescent="0.25">
      <c r="A19" s="4" t="s">
        <v>982</v>
      </c>
      <c r="B19" s="4" t="s">
        <v>907</v>
      </c>
      <c r="C19" s="4" t="s">
        <v>679</v>
      </c>
      <c r="D19" s="4" t="s">
        <v>347</v>
      </c>
      <c r="E19" s="4" t="s">
        <v>983</v>
      </c>
      <c r="F19" s="4" t="s">
        <v>984</v>
      </c>
      <c r="G19" s="4" t="s">
        <v>33</v>
      </c>
      <c r="H19" s="4" t="s">
        <v>40</v>
      </c>
      <c r="I19" s="4"/>
      <c r="J19" s="4"/>
    </row>
    <row r="20" spans="1:10" ht="30" customHeight="1" x14ac:dyDescent="0.25">
      <c r="A20" s="4" t="s">
        <v>985</v>
      </c>
      <c r="B20" s="4" t="s">
        <v>907</v>
      </c>
      <c r="C20" s="4" t="s">
        <v>986</v>
      </c>
      <c r="D20" s="4" t="s">
        <v>577</v>
      </c>
      <c r="E20" s="4" t="s">
        <v>987</v>
      </c>
      <c r="F20" s="4" t="s">
        <v>988</v>
      </c>
      <c r="G20" s="4" t="s">
        <v>35</v>
      </c>
      <c r="H20" s="4" t="s">
        <v>40</v>
      </c>
      <c r="I20" s="4"/>
      <c r="J20" s="4"/>
    </row>
    <row r="21" spans="1:10" x14ac:dyDescent="0.25">
      <c r="A21" s="4" t="s">
        <v>989</v>
      </c>
      <c r="B21" s="4" t="s">
        <v>907</v>
      </c>
      <c r="C21" s="4" t="s">
        <v>990</v>
      </c>
      <c r="D21" s="4" t="s">
        <v>347</v>
      </c>
      <c r="E21" s="4" t="s">
        <v>991</v>
      </c>
      <c r="F21" s="4" t="s">
        <v>992</v>
      </c>
      <c r="G21" s="4" t="s">
        <v>37</v>
      </c>
      <c r="H21" s="4" t="s">
        <v>40</v>
      </c>
      <c r="I21" s="4"/>
      <c r="J21" s="4"/>
    </row>
    <row r="22" spans="1:10" ht="30" customHeight="1" x14ac:dyDescent="0.25">
      <c r="A22" s="4" t="s">
        <v>993</v>
      </c>
      <c r="B22" s="4" t="s">
        <v>907</v>
      </c>
      <c r="C22" s="4" t="s">
        <v>994</v>
      </c>
      <c r="D22" s="4" t="s">
        <v>995</v>
      </c>
      <c r="E22" s="4" t="s">
        <v>996</v>
      </c>
      <c r="F22" s="4" t="s">
        <v>997</v>
      </c>
      <c r="G22" s="4" t="s">
        <v>35</v>
      </c>
      <c r="H22" s="4" t="s">
        <v>40</v>
      </c>
      <c r="I22" s="4"/>
      <c r="J22" s="4"/>
    </row>
    <row r="23" spans="1:10" ht="45" customHeight="1" x14ac:dyDescent="0.25">
      <c r="A23" s="4" t="s">
        <v>998</v>
      </c>
      <c r="B23" s="4" t="s">
        <v>907</v>
      </c>
      <c r="C23" s="4" t="s">
        <v>999</v>
      </c>
      <c r="D23" s="4" t="s">
        <v>1000</v>
      </c>
      <c r="E23" s="4" t="s">
        <v>1001</v>
      </c>
      <c r="F23" s="4" t="s">
        <v>1002</v>
      </c>
      <c r="G23" s="4" t="s">
        <v>31</v>
      </c>
      <c r="H23" s="4" t="s">
        <v>40</v>
      </c>
      <c r="I23" s="4" t="s">
        <v>1003</v>
      </c>
      <c r="J23" s="4" t="s">
        <v>1004</v>
      </c>
    </row>
    <row r="24" spans="1:10" ht="90" customHeight="1" x14ac:dyDescent="0.25">
      <c r="A24" s="4" t="s">
        <v>1005</v>
      </c>
      <c r="B24" s="4" t="s">
        <v>907</v>
      </c>
      <c r="C24" s="4" t="s">
        <v>1006</v>
      </c>
      <c r="D24" s="4" t="s">
        <v>1007</v>
      </c>
      <c r="E24" s="4" t="s">
        <v>1008</v>
      </c>
      <c r="F24" s="4" t="s">
        <v>1009</v>
      </c>
      <c r="G24" s="4" t="s">
        <v>33</v>
      </c>
      <c r="H24" s="4" t="s">
        <v>40</v>
      </c>
      <c r="I24" s="4" t="s">
        <v>1003</v>
      </c>
      <c r="J24" s="4" t="s">
        <v>1010</v>
      </c>
    </row>
    <row r="25" spans="1:10" ht="45" customHeight="1" x14ac:dyDescent="0.25">
      <c r="A25" s="4" t="s">
        <v>1011</v>
      </c>
      <c r="B25" s="4" t="s">
        <v>907</v>
      </c>
      <c r="C25" s="4" t="s">
        <v>1012</v>
      </c>
      <c r="D25" s="4" t="s">
        <v>1013</v>
      </c>
      <c r="E25" s="4" t="s">
        <v>1014</v>
      </c>
      <c r="F25" s="4" t="s">
        <v>1015</v>
      </c>
      <c r="G25" s="4" t="s">
        <v>37</v>
      </c>
      <c r="H25" s="4" t="s">
        <v>40</v>
      </c>
      <c r="I25" s="4" t="s">
        <v>1016</v>
      </c>
      <c r="J25" s="4" t="s">
        <v>1017</v>
      </c>
    </row>
    <row r="26" spans="1:10" ht="45" customHeight="1" x14ac:dyDescent="0.25">
      <c r="A26" s="4" t="s">
        <v>1018</v>
      </c>
      <c r="B26" s="4" t="s">
        <v>907</v>
      </c>
      <c r="C26" s="4" t="s">
        <v>1019</v>
      </c>
      <c r="D26" s="4" t="s">
        <v>1020</v>
      </c>
      <c r="E26" s="4" t="s">
        <v>1021</v>
      </c>
      <c r="F26" s="4" t="s">
        <v>1022</v>
      </c>
      <c r="G26" s="4" t="s">
        <v>33</v>
      </c>
      <c r="H26" s="4" t="s">
        <v>40</v>
      </c>
      <c r="I26" s="4" t="s">
        <v>1003</v>
      </c>
      <c r="J26" s="4" t="s">
        <v>1023</v>
      </c>
    </row>
    <row r="27" spans="1:10" ht="30" customHeight="1" x14ac:dyDescent="0.25">
      <c r="A27" s="4" t="s">
        <v>1024</v>
      </c>
      <c r="B27" s="4" t="s">
        <v>907</v>
      </c>
      <c r="C27" s="4" t="s">
        <v>1025</v>
      </c>
      <c r="D27" s="4" t="s">
        <v>1026</v>
      </c>
      <c r="E27" s="4" t="s">
        <v>1027</v>
      </c>
      <c r="F27" s="4" t="s">
        <v>1028</v>
      </c>
      <c r="G27" s="4" t="s">
        <v>35</v>
      </c>
      <c r="H27" s="4" t="s">
        <v>40</v>
      </c>
      <c r="I27" s="4" t="s">
        <v>1003</v>
      </c>
      <c r="J27" s="4" t="s">
        <v>1029</v>
      </c>
    </row>
    <row r="28" spans="1:10" ht="30" customHeight="1" x14ac:dyDescent="0.25">
      <c r="A28" s="4" t="s">
        <v>1030</v>
      </c>
      <c r="B28" s="4" t="s">
        <v>907</v>
      </c>
      <c r="C28" s="4" t="s">
        <v>1031</v>
      </c>
      <c r="D28" s="4" t="s">
        <v>1032</v>
      </c>
      <c r="E28" s="4" t="s">
        <v>1033</v>
      </c>
      <c r="F28" s="4" t="s">
        <v>1034</v>
      </c>
      <c r="G28" s="4" t="s">
        <v>31</v>
      </c>
      <c r="H28" s="4" t="s">
        <v>40</v>
      </c>
      <c r="I28" s="4" t="s">
        <v>1003</v>
      </c>
      <c r="J28" s="4" t="s">
        <v>1035</v>
      </c>
    </row>
    <row r="29" spans="1:10" ht="30" customHeight="1" x14ac:dyDescent="0.25">
      <c r="A29" s="4" t="s">
        <v>1036</v>
      </c>
      <c r="B29" s="4" t="s">
        <v>907</v>
      </c>
      <c r="C29" s="4" t="s">
        <v>1037</v>
      </c>
      <c r="D29" s="4" t="s">
        <v>1038</v>
      </c>
      <c r="E29" s="4" t="s">
        <v>1033</v>
      </c>
      <c r="F29" s="4" t="s">
        <v>1039</v>
      </c>
      <c r="G29" s="4" t="s">
        <v>33</v>
      </c>
      <c r="H29" s="4" t="s">
        <v>40</v>
      </c>
      <c r="I29" s="4" t="s">
        <v>1016</v>
      </c>
      <c r="J29" s="4" t="s">
        <v>1017</v>
      </c>
    </row>
    <row r="30" spans="1:10" ht="30" customHeight="1" x14ac:dyDescent="0.25">
      <c r="A30" s="4" t="s">
        <v>1040</v>
      </c>
      <c r="B30" s="4" t="s">
        <v>907</v>
      </c>
      <c r="C30" s="4" t="s">
        <v>1041</v>
      </c>
      <c r="D30" s="4" t="s">
        <v>1042</v>
      </c>
      <c r="E30" s="4" t="s">
        <v>1043</v>
      </c>
      <c r="F30" s="4" t="s">
        <v>1044</v>
      </c>
      <c r="G30" s="4" t="s">
        <v>31</v>
      </c>
      <c r="H30" s="4" t="s">
        <v>40</v>
      </c>
      <c r="I30" s="4" t="s">
        <v>1003</v>
      </c>
      <c r="J30" s="4" t="s">
        <v>1045</v>
      </c>
    </row>
    <row r="31" spans="1:10" ht="45" customHeight="1" x14ac:dyDescent="0.25">
      <c r="A31" s="4" t="s">
        <v>1046</v>
      </c>
      <c r="B31" s="4" t="s">
        <v>907</v>
      </c>
      <c r="C31" s="4" t="s">
        <v>1047</v>
      </c>
      <c r="D31" s="4" t="s">
        <v>1048</v>
      </c>
      <c r="E31" s="4" t="s">
        <v>1049</v>
      </c>
      <c r="F31" s="4" t="s">
        <v>1050</v>
      </c>
      <c r="G31" s="4" t="s">
        <v>31</v>
      </c>
      <c r="H31" s="4" t="s">
        <v>40</v>
      </c>
      <c r="I31" s="4" t="s">
        <v>1003</v>
      </c>
      <c r="J31" s="4" t="s">
        <v>1051</v>
      </c>
    </row>
    <row r="32" spans="1:10" ht="45" customHeight="1" x14ac:dyDescent="0.25">
      <c r="A32" s="4" t="s">
        <v>1052</v>
      </c>
      <c r="B32" s="4" t="s">
        <v>907</v>
      </c>
      <c r="C32" s="4" t="s">
        <v>1053</v>
      </c>
      <c r="D32" s="4" t="s">
        <v>1054</v>
      </c>
      <c r="E32" s="4" t="s">
        <v>1055</v>
      </c>
      <c r="F32" s="4" t="s">
        <v>1056</v>
      </c>
      <c r="G32" s="4" t="s">
        <v>33</v>
      </c>
      <c r="H32" s="4" t="s">
        <v>40</v>
      </c>
      <c r="I32" s="4" t="s">
        <v>1003</v>
      </c>
      <c r="J32" s="4" t="s">
        <v>1057</v>
      </c>
    </row>
  </sheetData>
  <autoFilter ref="A1:J32" xr:uid="{00000000-0009-0000-0000-000009000000}"/>
  <dataValidations count="3">
    <dataValidation type="list" allowBlank="1" errorTitle="Resultado inválido" error="Seleccione: Pasa, Falla, Bloqueado o Pendiente" sqref="I2:I32" xr:uid="{00000000-0002-0000-0900-000000000000}">
      <formula1>"Pasa,Falla,Bloqueado,Pendiente"</formula1>
    </dataValidation>
    <dataValidation type="list" allowBlank="1" errorTitle="Prioridad inválida" error="Seleccione: Crítica, Alta, Media o Baja" sqref="G2:G32" xr:uid="{00000000-0002-0000-0900-000001000000}">
      <formula1>"Crítica,Alta,Media,Baja"</formula1>
    </dataValidation>
    <dataValidation type="list" allowBlank="1" errorTitle="Tipo inválido" error="Seleccione: Real o Simulado" sqref="H2:H32" xr:uid="{00000000-0002-0000-0900-000002000000}">
      <formula1>"Real,Simulado"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60" customHeight="1" x14ac:dyDescent="0.25">
      <c r="A2" s="4" t="s">
        <v>1058</v>
      </c>
      <c r="B2" s="4" t="s">
        <v>1059</v>
      </c>
      <c r="C2" s="4" t="s">
        <v>1060</v>
      </c>
      <c r="D2" s="4" t="s">
        <v>1061</v>
      </c>
      <c r="E2" s="4" t="s">
        <v>1062</v>
      </c>
      <c r="F2" s="4" t="s">
        <v>1063</v>
      </c>
      <c r="G2" s="4" t="s">
        <v>31</v>
      </c>
      <c r="H2" s="4" t="s">
        <v>40</v>
      </c>
      <c r="I2" s="4"/>
      <c r="J2" s="4"/>
    </row>
    <row r="3" spans="1:10" ht="60" customHeight="1" x14ac:dyDescent="0.25">
      <c r="A3" s="4" t="s">
        <v>1064</v>
      </c>
      <c r="B3" s="4" t="s">
        <v>1059</v>
      </c>
      <c r="C3" s="4" t="s">
        <v>1065</v>
      </c>
      <c r="D3" s="4" t="s">
        <v>1066</v>
      </c>
      <c r="E3" s="4" t="s">
        <v>1067</v>
      </c>
      <c r="F3" s="4" t="s">
        <v>1068</v>
      </c>
      <c r="G3" s="4" t="s">
        <v>31</v>
      </c>
      <c r="H3" s="4" t="s">
        <v>40</v>
      </c>
      <c r="I3" s="4"/>
      <c r="J3" s="4"/>
    </row>
    <row r="4" spans="1:10" ht="45" customHeight="1" x14ac:dyDescent="0.25">
      <c r="A4" s="4" t="s">
        <v>1069</v>
      </c>
      <c r="B4" s="4" t="s">
        <v>1059</v>
      </c>
      <c r="C4" s="4" t="s">
        <v>1070</v>
      </c>
      <c r="D4" s="4" t="s">
        <v>1071</v>
      </c>
      <c r="E4" s="4" t="s">
        <v>1072</v>
      </c>
      <c r="F4" s="4" t="s">
        <v>1073</v>
      </c>
      <c r="G4" s="4" t="s">
        <v>33</v>
      </c>
      <c r="H4" s="4" t="s">
        <v>40</v>
      </c>
      <c r="I4" s="4"/>
      <c r="J4" s="4"/>
    </row>
    <row r="5" spans="1:10" ht="45" customHeight="1" x14ac:dyDescent="0.25">
      <c r="A5" s="4" t="s">
        <v>1074</v>
      </c>
      <c r="B5" s="4" t="s">
        <v>1059</v>
      </c>
      <c r="C5" s="4" t="s">
        <v>1075</v>
      </c>
      <c r="D5" s="4" t="s">
        <v>1076</v>
      </c>
      <c r="E5" s="4" t="s">
        <v>1077</v>
      </c>
      <c r="F5" s="4" t="s">
        <v>1078</v>
      </c>
      <c r="G5" s="4" t="s">
        <v>31</v>
      </c>
      <c r="H5" s="4" t="s">
        <v>40</v>
      </c>
      <c r="I5" s="4"/>
      <c r="J5" s="4"/>
    </row>
    <row r="6" spans="1:10" ht="75" customHeight="1" x14ac:dyDescent="0.25">
      <c r="A6" s="4" t="s">
        <v>1079</v>
      </c>
      <c r="B6" s="4" t="s">
        <v>1059</v>
      </c>
      <c r="C6" s="4" t="s">
        <v>1080</v>
      </c>
      <c r="D6" s="4" t="s">
        <v>1081</v>
      </c>
      <c r="E6" s="4" t="s">
        <v>1082</v>
      </c>
      <c r="F6" s="4" t="s">
        <v>1083</v>
      </c>
      <c r="G6" s="4" t="s">
        <v>31</v>
      </c>
      <c r="H6" s="4" t="s">
        <v>40</v>
      </c>
      <c r="I6" s="4"/>
      <c r="J6" s="4"/>
    </row>
    <row r="7" spans="1:10" ht="45" customHeight="1" x14ac:dyDescent="0.25">
      <c r="A7" s="4" t="s">
        <v>1084</v>
      </c>
      <c r="B7" s="4" t="s">
        <v>1059</v>
      </c>
      <c r="C7" s="4" t="s">
        <v>1085</v>
      </c>
      <c r="D7" s="4" t="s">
        <v>1086</v>
      </c>
      <c r="E7" s="4" t="s">
        <v>1087</v>
      </c>
      <c r="F7" s="4" t="s">
        <v>1088</v>
      </c>
      <c r="G7" s="4" t="s">
        <v>33</v>
      </c>
      <c r="H7" s="4" t="s">
        <v>40</v>
      </c>
      <c r="I7" s="4"/>
      <c r="J7" s="4"/>
    </row>
    <row r="8" spans="1:10" ht="45" customHeight="1" x14ac:dyDescent="0.25">
      <c r="A8" s="4" t="s">
        <v>1089</v>
      </c>
      <c r="B8" s="4" t="s">
        <v>1059</v>
      </c>
      <c r="C8" s="4" t="s">
        <v>1090</v>
      </c>
      <c r="D8" s="4" t="s">
        <v>1091</v>
      </c>
      <c r="E8" s="4" t="s">
        <v>1092</v>
      </c>
      <c r="F8" s="4" t="s">
        <v>1093</v>
      </c>
      <c r="G8" s="4" t="s">
        <v>33</v>
      </c>
      <c r="H8" s="4" t="s">
        <v>40</v>
      </c>
      <c r="I8" s="4"/>
      <c r="J8" s="4"/>
    </row>
    <row r="9" spans="1:10" ht="30" customHeight="1" x14ac:dyDescent="0.25">
      <c r="A9" s="4" t="s">
        <v>1094</v>
      </c>
      <c r="B9" s="4" t="s">
        <v>1059</v>
      </c>
      <c r="C9" s="4" t="s">
        <v>1095</v>
      </c>
      <c r="D9" s="4" t="s">
        <v>1096</v>
      </c>
      <c r="E9" s="4" t="s">
        <v>1097</v>
      </c>
      <c r="F9" s="4" t="s">
        <v>1098</v>
      </c>
      <c r="G9" s="4" t="s">
        <v>33</v>
      </c>
      <c r="H9" s="4" t="s">
        <v>40</v>
      </c>
      <c r="I9" s="4"/>
      <c r="J9" s="4"/>
    </row>
    <row r="10" spans="1:10" ht="30" customHeight="1" x14ac:dyDescent="0.25">
      <c r="A10" s="4" t="s">
        <v>1099</v>
      </c>
      <c r="B10" s="4" t="s">
        <v>1059</v>
      </c>
      <c r="C10" s="4" t="s">
        <v>1100</v>
      </c>
      <c r="D10" s="4" t="s">
        <v>1101</v>
      </c>
      <c r="E10" s="4" t="s">
        <v>1102</v>
      </c>
      <c r="F10" s="4" t="s">
        <v>1103</v>
      </c>
      <c r="G10" s="4" t="s">
        <v>35</v>
      </c>
      <c r="H10" s="4" t="s">
        <v>40</v>
      </c>
      <c r="I10" s="4"/>
      <c r="J10" s="4"/>
    </row>
    <row r="11" spans="1:10" ht="30" customHeight="1" x14ac:dyDescent="0.25">
      <c r="A11" s="4" t="s">
        <v>1104</v>
      </c>
      <c r="B11" s="4" t="s">
        <v>1059</v>
      </c>
      <c r="C11" s="4" t="s">
        <v>1105</v>
      </c>
      <c r="D11" s="4" t="s">
        <v>1106</v>
      </c>
      <c r="E11" s="4" t="s">
        <v>1107</v>
      </c>
      <c r="F11" s="4" t="s">
        <v>1108</v>
      </c>
      <c r="G11" s="4" t="s">
        <v>33</v>
      </c>
      <c r="H11" s="4" t="s">
        <v>40</v>
      </c>
      <c r="I11" s="4"/>
      <c r="J11" s="4"/>
    </row>
    <row r="12" spans="1:10" ht="30" customHeight="1" x14ac:dyDescent="0.25">
      <c r="A12" s="4" t="s">
        <v>1109</v>
      </c>
      <c r="B12" s="4" t="s">
        <v>1059</v>
      </c>
      <c r="C12" s="4" t="s">
        <v>1110</v>
      </c>
      <c r="D12" s="4" t="s">
        <v>1111</v>
      </c>
      <c r="E12" s="4" t="s">
        <v>1112</v>
      </c>
      <c r="F12" s="4" t="s">
        <v>1113</v>
      </c>
      <c r="G12" s="4" t="s">
        <v>31</v>
      </c>
      <c r="H12" s="4" t="s">
        <v>40</v>
      </c>
      <c r="I12" s="4"/>
      <c r="J12" s="4"/>
    </row>
    <row r="13" spans="1:10" ht="30" customHeight="1" x14ac:dyDescent="0.25">
      <c r="A13" s="4" t="s">
        <v>1114</v>
      </c>
      <c r="B13" s="4" t="s">
        <v>1059</v>
      </c>
      <c r="C13" s="4" t="s">
        <v>1115</v>
      </c>
      <c r="D13" s="4" t="s">
        <v>1116</v>
      </c>
      <c r="E13" s="4" t="s">
        <v>1117</v>
      </c>
      <c r="F13" s="4" t="s">
        <v>1118</v>
      </c>
      <c r="G13" s="4" t="s">
        <v>31</v>
      </c>
      <c r="H13" s="4" t="s">
        <v>40</v>
      </c>
      <c r="I13" s="4"/>
      <c r="J13" s="4"/>
    </row>
    <row r="14" spans="1:10" ht="45" customHeight="1" x14ac:dyDescent="0.25">
      <c r="A14" s="4" t="s">
        <v>1119</v>
      </c>
      <c r="B14" s="4" t="s">
        <v>1059</v>
      </c>
      <c r="C14" s="4" t="s">
        <v>1120</v>
      </c>
      <c r="D14" s="4" t="s">
        <v>1121</v>
      </c>
      <c r="E14" s="4" t="s">
        <v>1122</v>
      </c>
      <c r="F14" s="4" t="s">
        <v>1123</v>
      </c>
      <c r="G14" s="4" t="s">
        <v>31</v>
      </c>
      <c r="H14" s="4" t="s">
        <v>40</v>
      </c>
      <c r="I14" s="4"/>
      <c r="J14" s="4"/>
    </row>
    <row r="15" spans="1:10" ht="45" customHeight="1" x14ac:dyDescent="0.25">
      <c r="A15" s="4" t="s">
        <v>1124</v>
      </c>
      <c r="B15" s="4" t="s">
        <v>1059</v>
      </c>
      <c r="C15" s="4" t="s">
        <v>1125</v>
      </c>
      <c r="D15" s="4" t="s">
        <v>1126</v>
      </c>
      <c r="E15" s="4" t="s">
        <v>1127</v>
      </c>
      <c r="F15" s="4" t="s">
        <v>1128</v>
      </c>
      <c r="G15" s="4" t="s">
        <v>33</v>
      </c>
      <c r="H15" s="4" t="s">
        <v>40</v>
      </c>
      <c r="I15" s="4"/>
      <c r="J15" s="4"/>
    </row>
    <row r="16" spans="1:10" ht="30" customHeight="1" x14ac:dyDescent="0.25">
      <c r="A16" s="4" t="s">
        <v>1129</v>
      </c>
      <c r="B16" s="4" t="s">
        <v>1059</v>
      </c>
      <c r="C16" s="4" t="s">
        <v>1130</v>
      </c>
      <c r="D16" s="4" t="s">
        <v>1126</v>
      </c>
      <c r="E16" s="4" t="s">
        <v>1131</v>
      </c>
      <c r="F16" s="4" t="s">
        <v>1132</v>
      </c>
      <c r="G16" s="4" t="s">
        <v>33</v>
      </c>
      <c r="H16" s="4" t="s">
        <v>40</v>
      </c>
      <c r="I16" s="4"/>
      <c r="J16" s="4"/>
    </row>
    <row r="17" spans="1:10" ht="30" customHeight="1" x14ac:dyDescent="0.25">
      <c r="A17" s="4" t="s">
        <v>1133</v>
      </c>
      <c r="B17" s="4" t="s">
        <v>1059</v>
      </c>
      <c r="C17" s="4" t="s">
        <v>1134</v>
      </c>
      <c r="D17" s="4" t="s">
        <v>1135</v>
      </c>
      <c r="E17" s="4" t="s">
        <v>1136</v>
      </c>
      <c r="F17" s="4" t="s">
        <v>1137</v>
      </c>
      <c r="G17" s="4" t="s">
        <v>35</v>
      </c>
      <c r="H17" s="4" t="s">
        <v>40</v>
      </c>
      <c r="I17" s="4"/>
      <c r="J17" s="4"/>
    </row>
    <row r="18" spans="1:10" ht="45" customHeight="1" x14ac:dyDescent="0.25">
      <c r="A18" s="4" t="s">
        <v>1138</v>
      </c>
      <c r="B18" s="4" t="s">
        <v>1059</v>
      </c>
      <c r="C18" s="4" t="s">
        <v>1139</v>
      </c>
      <c r="D18" s="4" t="s">
        <v>1140</v>
      </c>
      <c r="E18" s="4" t="s">
        <v>1141</v>
      </c>
      <c r="F18" s="4" t="s">
        <v>1142</v>
      </c>
      <c r="G18" s="4" t="s">
        <v>33</v>
      </c>
      <c r="H18" s="4" t="s">
        <v>40</v>
      </c>
      <c r="I18" s="4"/>
      <c r="J18" s="4"/>
    </row>
    <row r="19" spans="1:10" ht="30" customHeight="1" x14ac:dyDescent="0.25">
      <c r="A19" s="4" t="s">
        <v>1143</v>
      </c>
      <c r="B19" s="4" t="s">
        <v>1059</v>
      </c>
      <c r="C19" s="4" t="s">
        <v>1144</v>
      </c>
      <c r="D19" s="4" t="s">
        <v>1145</v>
      </c>
      <c r="E19" s="4" t="s">
        <v>1146</v>
      </c>
      <c r="F19" s="4" t="s">
        <v>1147</v>
      </c>
      <c r="G19" s="4" t="s">
        <v>33</v>
      </c>
      <c r="H19" s="4" t="s">
        <v>40</v>
      </c>
      <c r="I19" s="4"/>
      <c r="J19" s="4"/>
    </row>
    <row r="20" spans="1:10" ht="30" customHeight="1" x14ac:dyDescent="0.25">
      <c r="A20" s="4" t="s">
        <v>1148</v>
      </c>
      <c r="B20" s="4" t="s">
        <v>1059</v>
      </c>
      <c r="C20" s="4" t="s">
        <v>1149</v>
      </c>
      <c r="D20" s="4" t="s">
        <v>1150</v>
      </c>
      <c r="E20" s="4" t="s">
        <v>1151</v>
      </c>
      <c r="F20" s="4" t="s">
        <v>1152</v>
      </c>
      <c r="G20" s="4" t="s">
        <v>33</v>
      </c>
      <c r="H20" s="4" t="s">
        <v>40</v>
      </c>
      <c r="I20" s="4"/>
      <c r="J20" s="4"/>
    </row>
    <row r="21" spans="1:10" ht="30" customHeight="1" x14ac:dyDescent="0.25">
      <c r="A21" s="4" t="s">
        <v>1153</v>
      </c>
      <c r="B21" s="4" t="s">
        <v>1059</v>
      </c>
      <c r="C21" s="4" t="s">
        <v>1154</v>
      </c>
      <c r="D21" s="4" t="s">
        <v>1155</v>
      </c>
      <c r="E21" s="4" t="s">
        <v>1156</v>
      </c>
      <c r="F21" s="4" t="s">
        <v>1157</v>
      </c>
      <c r="G21" s="4" t="s">
        <v>33</v>
      </c>
      <c r="H21" s="4" t="s">
        <v>40</v>
      </c>
      <c r="I21" s="4"/>
      <c r="J21" s="4"/>
    </row>
    <row r="22" spans="1:10" ht="30" customHeight="1" x14ac:dyDescent="0.25">
      <c r="A22" s="4" t="s">
        <v>1158</v>
      </c>
      <c r="B22" s="4" t="s">
        <v>1059</v>
      </c>
      <c r="C22" s="4" t="s">
        <v>1159</v>
      </c>
      <c r="D22" s="4" t="s">
        <v>1155</v>
      </c>
      <c r="E22" s="4" t="s">
        <v>1160</v>
      </c>
      <c r="F22" s="4" t="s">
        <v>1161</v>
      </c>
      <c r="G22" s="4" t="s">
        <v>33</v>
      </c>
      <c r="H22" s="4" t="s">
        <v>40</v>
      </c>
      <c r="I22" s="4"/>
      <c r="J22" s="4"/>
    </row>
    <row r="23" spans="1:10" ht="30" customHeight="1" x14ac:dyDescent="0.25">
      <c r="A23" s="4" t="s">
        <v>1162</v>
      </c>
      <c r="B23" s="4" t="s">
        <v>1059</v>
      </c>
      <c r="C23" s="4" t="s">
        <v>1163</v>
      </c>
      <c r="D23" s="4" t="s">
        <v>1164</v>
      </c>
      <c r="E23" s="4" t="s">
        <v>1165</v>
      </c>
      <c r="F23" s="4" t="s">
        <v>1166</v>
      </c>
      <c r="G23" s="4" t="s">
        <v>33</v>
      </c>
      <c r="H23" s="4" t="s">
        <v>40</v>
      </c>
      <c r="I23" s="4"/>
      <c r="J23" s="4"/>
    </row>
    <row r="24" spans="1:10" ht="45" customHeight="1" x14ac:dyDescent="0.25">
      <c r="A24" s="4" t="s">
        <v>1167</v>
      </c>
      <c r="B24" s="4" t="s">
        <v>1059</v>
      </c>
      <c r="C24" s="4" t="s">
        <v>1168</v>
      </c>
      <c r="D24" s="4" t="s">
        <v>1169</v>
      </c>
      <c r="E24" s="4" t="s">
        <v>1170</v>
      </c>
      <c r="F24" s="4" t="s">
        <v>1171</v>
      </c>
      <c r="G24" s="4" t="s">
        <v>33</v>
      </c>
      <c r="H24" s="4" t="s">
        <v>40</v>
      </c>
      <c r="I24" s="4"/>
      <c r="J24" s="4"/>
    </row>
    <row r="25" spans="1:10" ht="45" customHeight="1" x14ac:dyDescent="0.25">
      <c r="A25" s="4" t="s">
        <v>1172</v>
      </c>
      <c r="B25" s="4" t="s">
        <v>1059</v>
      </c>
      <c r="C25" s="4" t="s">
        <v>1173</v>
      </c>
      <c r="D25" s="4" t="s">
        <v>1174</v>
      </c>
      <c r="E25" s="4" t="s">
        <v>1175</v>
      </c>
      <c r="F25" s="4" t="s">
        <v>1176</v>
      </c>
      <c r="G25" s="4" t="s">
        <v>33</v>
      </c>
      <c r="H25" s="4" t="s">
        <v>40</v>
      </c>
      <c r="I25" s="4"/>
      <c r="J25" s="4"/>
    </row>
    <row r="26" spans="1:10" ht="30" customHeight="1" x14ac:dyDescent="0.25">
      <c r="A26" s="4" t="s">
        <v>1177</v>
      </c>
      <c r="B26" s="4" t="s">
        <v>1059</v>
      </c>
      <c r="C26" s="4" t="s">
        <v>1178</v>
      </c>
      <c r="D26" s="4" t="s">
        <v>1179</v>
      </c>
      <c r="E26" s="4" t="s">
        <v>1180</v>
      </c>
      <c r="F26" s="4" t="s">
        <v>1181</v>
      </c>
      <c r="G26" s="4" t="s">
        <v>33</v>
      </c>
      <c r="H26" s="4" t="s">
        <v>40</v>
      </c>
      <c r="I26" s="4"/>
      <c r="J26" s="4"/>
    </row>
    <row r="27" spans="1:10" ht="30" customHeight="1" x14ac:dyDescent="0.25">
      <c r="A27" s="4" t="s">
        <v>1182</v>
      </c>
      <c r="B27" s="4" t="s">
        <v>1059</v>
      </c>
      <c r="C27" s="4" t="s">
        <v>1183</v>
      </c>
      <c r="D27" s="4" t="s">
        <v>347</v>
      </c>
      <c r="E27" s="4" t="s">
        <v>1184</v>
      </c>
      <c r="F27" s="4" t="s">
        <v>1185</v>
      </c>
      <c r="G27" s="4" t="s">
        <v>33</v>
      </c>
      <c r="H27" s="4" t="s">
        <v>40</v>
      </c>
      <c r="I27" s="4"/>
      <c r="J27" s="4"/>
    </row>
    <row r="28" spans="1:10" ht="30" customHeight="1" x14ac:dyDescent="0.25">
      <c r="A28" s="4" t="s">
        <v>1186</v>
      </c>
      <c r="B28" s="4" t="s">
        <v>1059</v>
      </c>
      <c r="C28" s="4" t="s">
        <v>1187</v>
      </c>
      <c r="D28" s="4" t="s">
        <v>1188</v>
      </c>
      <c r="E28" s="4" t="s">
        <v>1189</v>
      </c>
      <c r="F28" s="4" t="s">
        <v>1190</v>
      </c>
      <c r="G28" s="4" t="s">
        <v>35</v>
      </c>
      <c r="H28" s="4" t="s">
        <v>40</v>
      </c>
      <c r="I28" s="4"/>
      <c r="J28" s="4"/>
    </row>
    <row r="29" spans="1:10" ht="30" customHeight="1" x14ac:dyDescent="0.25">
      <c r="A29" s="4" t="s">
        <v>1191</v>
      </c>
      <c r="B29" s="4" t="s">
        <v>1059</v>
      </c>
      <c r="C29" s="4" t="s">
        <v>1192</v>
      </c>
      <c r="D29" s="4" t="s">
        <v>1193</v>
      </c>
      <c r="E29" s="4" t="s">
        <v>1194</v>
      </c>
      <c r="F29" s="4" t="s">
        <v>1195</v>
      </c>
      <c r="G29" s="4" t="s">
        <v>35</v>
      </c>
      <c r="H29" s="4" t="s">
        <v>40</v>
      </c>
      <c r="I29" s="4"/>
      <c r="J29" s="4"/>
    </row>
    <row r="30" spans="1:10" ht="30" customHeight="1" x14ac:dyDescent="0.25">
      <c r="A30" s="4" t="s">
        <v>1196</v>
      </c>
      <c r="B30" s="4" t="s">
        <v>1059</v>
      </c>
      <c r="C30" s="4" t="s">
        <v>1197</v>
      </c>
      <c r="D30" s="4"/>
      <c r="E30" s="4"/>
      <c r="F30" s="4"/>
      <c r="G30" s="4" t="s">
        <v>37</v>
      </c>
      <c r="H30" s="4" t="s">
        <v>40</v>
      </c>
      <c r="I30" s="4"/>
      <c r="J30" s="4"/>
    </row>
    <row r="31" spans="1:10" ht="30" customHeight="1" x14ac:dyDescent="0.25">
      <c r="A31" s="4" t="s">
        <v>1198</v>
      </c>
      <c r="B31" s="4" t="s">
        <v>1059</v>
      </c>
      <c r="C31" s="4" t="s">
        <v>1199</v>
      </c>
      <c r="D31" s="4"/>
      <c r="E31" s="4"/>
      <c r="F31" s="4"/>
      <c r="G31" s="4" t="s">
        <v>37</v>
      </c>
      <c r="H31" s="4" t="s">
        <v>40</v>
      </c>
      <c r="I31" s="4"/>
      <c r="J31" s="4"/>
    </row>
    <row r="32" spans="1:10" ht="30" customHeight="1" x14ac:dyDescent="0.25">
      <c r="A32" s="4" t="s">
        <v>1200</v>
      </c>
      <c r="B32" s="4" t="s">
        <v>1059</v>
      </c>
      <c r="C32" s="4" t="s">
        <v>1201</v>
      </c>
      <c r="D32" s="4"/>
      <c r="E32" s="4"/>
      <c r="F32" s="4"/>
      <c r="G32" s="4" t="s">
        <v>35</v>
      </c>
      <c r="H32" s="4" t="s">
        <v>40</v>
      </c>
      <c r="I32" s="4"/>
      <c r="J32" s="4"/>
    </row>
  </sheetData>
  <autoFilter ref="A1:J32" xr:uid="{00000000-0009-0000-0000-00000A000000}"/>
  <dataValidations count="3">
    <dataValidation type="list" allowBlank="1" errorTitle="Resultado inválido" error="Seleccione: Pasa, Falla, Bloqueado o Pendiente" sqref="I2:I32" xr:uid="{00000000-0002-0000-0A00-000000000000}">
      <formula1>"Pasa,Falla,Bloqueado,Pendiente"</formula1>
    </dataValidation>
    <dataValidation type="list" allowBlank="1" errorTitle="Prioridad inválida" error="Seleccione: Crítica, Alta, Media o Baja" sqref="G2:G32" xr:uid="{00000000-0002-0000-0A00-000001000000}">
      <formula1>"Crítica,Alta,Media,Baja"</formula1>
    </dataValidation>
    <dataValidation type="list" allowBlank="1" errorTitle="Tipo inválido" error="Seleccione: Real o Simulado" sqref="H2:H32" xr:uid="{00000000-0002-0000-0A00-000002000000}">
      <formula1>"Real,Simulado"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60" customHeight="1" x14ac:dyDescent="0.25">
      <c r="A2" s="4" t="s">
        <v>1202</v>
      </c>
      <c r="B2" s="4" t="s">
        <v>1203</v>
      </c>
      <c r="C2" s="4" t="s">
        <v>1204</v>
      </c>
      <c r="D2" s="4" t="s">
        <v>1205</v>
      </c>
      <c r="E2" s="4" t="s">
        <v>1206</v>
      </c>
      <c r="F2" s="4" t="s">
        <v>1207</v>
      </c>
      <c r="G2" s="4" t="s">
        <v>31</v>
      </c>
      <c r="H2" s="4" t="s">
        <v>40</v>
      </c>
      <c r="I2" s="4"/>
      <c r="J2" s="4"/>
    </row>
    <row r="3" spans="1:10" ht="75" customHeight="1" x14ac:dyDescent="0.25">
      <c r="A3" s="4" t="s">
        <v>1208</v>
      </c>
      <c r="B3" s="4" t="s">
        <v>1203</v>
      </c>
      <c r="C3" s="4" t="s">
        <v>1209</v>
      </c>
      <c r="D3" s="4" t="s">
        <v>1210</v>
      </c>
      <c r="E3" s="4" t="s">
        <v>1211</v>
      </c>
      <c r="F3" s="4" t="s">
        <v>1212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1213</v>
      </c>
      <c r="B4" s="4" t="s">
        <v>1203</v>
      </c>
      <c r="C4" s="4" t="s">
        <v>1214</v>
      </c>
      <c r="D4" s="4" t="s">
        <v>1210</v>
      </c>
      <c r="E4" s="4" t="s">
        <v>1215</v>
      </c>
      <c r="F4" s="4" t="s">
        <v>1216</v>
      </c>
      <c r="G4" s="4" t="s">
        <v>31</v>
      </c>
      <c r="H4" s="4" t="s">
        <v>40</v>
      </c>
      <c r="I4" s="4"/>
      <c r="J4" s="4"/>
    </row>
    <row r="5" spans="1:10" ht="45" customHeight="1" x14ac:dyDescent="0.25">
      <c r="A5" s="4" t="s">
        <v>1217</v>
      </c>
      <c r="B5" s="4" t="s">
        <v>1203</v>
      </c>
      <c r="C5" s="4" t="s">
        <v>1218</v>
      </c>
      <c r="D5" s="4" t="s">
        <v>1219</v>
      </c>
      <c r="E5" s="4" t="s">
        <v>1220</v>
      </c>
      <c r="F5" s="4" t="s">
        <v>1221</v>
      </c>
      <c r="G5" s="4" t="s">
        <v>31</v>
      </c>
      <c r="H5" s="4" t="s">
        <v>40</v>
      </c>
      <c r="I5" s="4"/>
      <c r="J5" s="4"/>
    </row>
    <row r="6" spans="1:10" x14ac:dyDescent="0.25">
      <c r="A6" s="4" t="s">
        <v>1222</v>
      </c>
      <c r="B6" s="4" t="s">
        <v>1203</v>
      </c>
      <c r="C6" s="4" t="s">
        <v>1223</v>
      </c>
      <c r="D6" s="4" t="s">
        <v>1224</v>
      </c>
      <c r="E6" s="4" t="s">
        <v>1225</v>
      </c>
      <c r="F6" s="4" t="s">
        <v>1226</v>
      </c>
      <c r="G6" s="4" t="s">
        <v>35</v>
      </c>
      <c r="H6" s="4" t="s">
        <v>40</v>
      </c>
      <c r="I6" s="4"/>
      <c r="J6" s="4"/>
    </row>
    <row r="7" spans="1:10" ht="30" customHeight="1" x14ac:dyDescent="0.25">
      <c r="A7" s="4" t="s">
        <v>1227</v>
      </c>
      <c r="B7" s="4" t="s">
        <v>1203</v>
      </c>
      <c r="C7" s="4" t="s">
        <v>1228</v>
      </c>
      <c r="D7" s="4" t="s">
        <v>1229</v>
      </c>
      <c r="E7" s="4" t="s">
        <v>1230</v>
      </c>
      <c r="F7" s="4" t="s">
        <v>1231</v>
      </c>
      <c r="G7" s="4" t="s">
        <v>31</v>
      </c>
      <c r="H7" s="4" t="s">
        <v>40</v>
      </c>
      <c r="I7" s="4"/>
      <c r="J7" s="4"/>
    </row>
    <row r="8" spans="1:10" ht="30" customHeight="1" x14ac:dyDescent="0.25">
      <c r="A8" s="4" t="s">
        <v>1232</v>
      </c>
      <c r="B8" s="4" t="s">
        <v>1203</v>
      </c>
      <c r="C8" s="4" t="s">
        <v>1233</v>
      </c>
      <c r="D8" s="4" t="s">
        <v>1234</v>
      </c>
      <c r="E8" s="4" t="s">
        <v>1235</v>
      </c>
      <c r="F8" s="4" t="s">
        <v>1236</v>
      </c>
      <c r="G8" s="4" t="s">
        <v>33</v>
      </c>
      <c r="H8" s="4" t="s">
        <v>40</v>
      </c>
      <c r="I8" s="4"/>
      <c r="J8" s="4"/>
    </row>
    <row r="9" spans="1:10" ht="30" customHeight="1" x14ac:dyDescent="0.25">
      <c r="A9" s="4" t="s">
        <v>1237</v>
      </c>
      <c r="B9" s="4" t="s">
        <v>1203</v>
      </c>
      <c r="C9" s="4" t="s">
        <v>1238</v>
      </c>
      <c r="D9" s="4" t="s">
        <v>1239</v>
      </c>
      <c r="E9" s="4" t="s">
        <v>1240</v>
      </c>
      <c r="F9" s="4" t="s">
        <v>1241</v>
      </c>
      <c r="G9" s="4" t="s">
        <v>31</v>
      </c>
      <c r="H9" s="4" t="s">
        <v>40</v>
      </c>
      <c r="I9" s="4"/>
      <c r="J9" s="4"/>
    </row>
    <row r="10" spans="1:10" x14ac:dyDescent="0.25">
      <c r="A10" s="4" t="s">
        <v>1242</v>
      </c>
      <c r="B10" s="4" t="s">
        <v>1203</v>
      </c>
      <c r="C10" s="4" t="s">
        <v>1243</v>
      </c>
      <c r="D10" s="4" t="s">
        <v>1244</v>
      </c>
      <c r="E10" s="4" t="s">
        <v>1245</v>
      </c>
      <c r="F10" s="4" t="s">
        <v>1246</v>
      </c>
      <c r="G10" s="4" t="s">
        <v>35</v>
      </c>
      <c r="H10" s="4" t="s">
        <v>40</v>
      </c>
      <c r="I10" s="4"/>
      <c r="J10" s="4"/>
    </row>
    <row r="11" spans="1:10" ht="30" customHeight="1" x14ac:dyDescent="0.25">
      <c r="A11" s="4" t="s">
        <v>1247</v>
      </c>
      <c r="B11" s="4" t="s">
        <v>1203</v>
      </c>
      <c r="C11" s="4" t="s">
        <v>1248</v>
      </c>
      <c r="D11" s="4" t="s">
        <v>1249</v>
      </c>
      <c r="E11" s="4" t="s">
        <v>1250</v>
      </c>
      <c r="F11" s="4" t="s">
        <v>1251</v>
      </c>
      <c r="G11" s="4" t="s">
        <v>31</v>
      </c>
      <c r="H11" s="4" t="s">
        <v>40</v>
      </c>
      <c r="I11" s="4"/>
      <c r="J11" s="4"/>
    </row>
    <row r="12" spans="1:10" ht="30" customHeight="1" x14ac:dyDescent="0.25">
      <c r="A12" s="4" t="s">
        <v>1252</v>
      </c>
      <c r="B12" s="4" t="s">
        <v>1203</v>
      </c>
      <c r="C12" s="4" t="s">
        <v>1253</v>
      </c>
      <c r="D12" s="4" t="s">
        <v>289</v>
      </c>
      <c r="E12" s="4" t="s">
        <v>1254</v>
      </c>
      <c r="F12" s="4" t="s">
        <v>1255</v>
      </c>
      <c r="G12" s="4" t="s">
        <v>33</v>
      </c>
      <c r="H12" s="4" t="s">
        <v>40</v>
      </c>
      <c r="I12" s="4"/>
      <c r="J12" s="4"/>
    </row>
    <row r="13" spans="1:10" x14ac:dyDescent="0.25">
      <c r="A13" s="4" t="s">
        <v>1256</v>
      </c>
      <c r="B13" s="4" t="s">
        <v>1203</v>
      </c>
      <c r="C13" s="4" t="s">
        <v>1257</v>
      </c>
      <c r="D13" s="4" t="s">
        <v>1258</v>
      </c>
      <c r="E13" s="4" t="s">
        <v>1259</v>
      </c>
      <c r="F13" s="4" t="s">
        <v>1260</v>
      </c>
      <c r="G13" s="4" t="s">
        <v>33</v>
      </c>
      <c r="H13" s="4" t="s">
        <v>40</v>
      </c>
      <c r="I13" s="4"/>
      <c r="J13" s="4"/>
    </row>
    <row r="14" spans="1:10" x14ac:dyDescent="0.25">
      <c r="A14" s="4" t="s">
        <v>1261</v>
      </c>
      <c r="B14" s="4" t="s">
        <v>1203</v>
      </c>
      <c r="C14" s="4" t="s">
        <v>1262</v>
      </c>
      <c r="D14" s="4" t="s">
        <v>168</v>
      </c>
      <c r="E14" s="4" t="s">
        <v>1263</v>
      </c>
      <c r="F14" s="4" t="s">
        <v>1264</v>
      </c>
      <c r="G14" s="4" t="s">
        <v>33</v>
      </c>
      <c r="H14" s="4" t="s">
        <v>40</v>
      </c>
      <c r="I14" s="4"/>
      <c r="J14" s="4"/>
    </row>
    <row r="15" spans="1:10" ht="30" customHeight="1" x14ac:dyDescent="0.25">
      <c r="A15" s="4" t="s">
        <v>1265</v>
      </c>
      <c r="B15" s="4" t="s">
        <v>1203</v>
      </c>
      <c r="C15" s="4" t="s">
        <v>1266</v>
      </c>
      <c r="D15" s="4" t="s">
        <v>1267</v>
      </c>
      <c r="E15" s="4" t="s">
        <v>1268</v>
      </c>
      <c r="F15" s="4" t="s">
        <v>1269</v>
      </c>
      <c r="G15" s="4" t="s">
        <v>37</v>
      </c>
      <c r="H15" s="4" t="s">
        <v>40</v>
      </c>
      <c r="I15" s="4"/>
      <c r="J15" s="4"/>
    </row>
    <row r="16" spans="1:10" ht="30" customHeight="1" x14ac:dyDescent="0.25">
      <c r="A16" s="4" t="s">
        <v>1270</v>
      </c>
      <c r="B16" s="4" t="s">
        <v>1203</v>
      </c>
      <c r="C16" s="4" t="s">
        <v>1271</v>
      </c>
      <c r="D16" s="4" t="s">
        <v>1272</v>
      </c>
      <c r="E16" s="4" t="s">
        <v>1273</v>
      </c>
      <c r="F16" s="4" t="s">
        <v>1274</v>
      </c>
      <c r="G16" s="4" t="s">
        <v>31</v>
      </c>
      <c r="H16" s="4" t="s">
        <v>40</v>
      </c>
      <c r="I16" s="4"/>
      <c r="J16" s="4"/>
    </row>
    <row r="17" spans="1:10" ht="45" customHeight="1" x14ac:dyDescent="0.25">
      <c r="A17" s="4" t="s">
        <v>1275</v>
      </c>
      <c r="B17" s="4" t="s">
        <v>1203</v>
      </c>
      <c r="C17" s="4" t="s">
        <v>1276</v>
      </c>
      <c r="D17" s="4" t="s">
        <v>1277</v>
      </c>
      <c r="E17" s="4" t="s">
        <v>1278</v>
      </c>
      <c r="F17" s="4" t="s">
        <v>1279</v>
      </c>
      <c r="G17" s="4" t="s">
        <v>33</v>
      </c>
      <c r="H17" s="4" t="s">
        <v>40</v>
      </c>
      <c r="I17" s="4"/>
      <c r="J17" s="4"/>
    </row>
    <row r="18" spans="1:10" ht="45" customHeight="1" x14ac:dyDescent="0.25">
      <c r="A18" s="4" t="s">
        <v>1280</v>
      </c>
      <c r="B18" s="4" t="s">
        <v>1203</v>
      </c>
      <c r="C18" s="4" t="s">
        <v>1281</v>
      </c>
      <c r="D18" s="4" t="s">
        <v>1282</v>
      </c>
      <c r="E18" s="4" t="s">
        <v>1283</v>
      </c>
      <c r="F18" s="4" t="s">
        <v>1284</v>
      </c>
      <c r="G18" s="4" t="s">
        <v>33</v>
      </c>
      <c r="H18" s="4" t="s">
        <v>40</v>
      </c>
      <c r="I18" s="4"/>
      <c r="J18" s="4"/>
    </row>
    <row r="19" spans="1:10" ht="30" customHeight="1" x14ac:dyDescent="0.25">
      <c r="A19" s="4" t="s">
        <v>1285</v>
      </c>
      <c r="B19" s="4" t="s">
        <v>1203</v>
      </c>
      <c r="C19" s="4" t="s">
        <v>1286</v>
      </c>
      <c r="D19" s="4" t="s">
        <v>1287</v>
      </c>
      <c r="E19" s="4" t="s">
        <v>1288</v>
      </c>
      <c r="F19" s="4" t="s">
        <v>1289</v>
      </c>
      <c r="G19" s="4" t="s">
        <v>33</v>
      </c>
      <c r="H19" s="4" t="s">
        <v>40</v>
      </c>
      <c r="I19" s="4"/>
      <c r="J19" s="4"/>
    </row>
    <row r="20" spans="1:10" ht="45" customHeight="1" x14ac:dyDescent="0.25">
      <c r="A20" s="4" t="s">
        <v>1290</v>
      </c>
      <c r="B20" s="4" t="s">
        <v>1203</v>
      </c>
      <c r="C20" s="4" t="s">
        <v>1291</v>
      </c>
      <c r="D20" s="4" t="s">
        <v>1292</v>
      </c>
      <c r="E20" s="4" t="s">
        <v>1293</v>
      </c>
      <c r="F20" s="4" t="s">
        <v>1294</v>
      </c>
      <c r="G20" s="4" t="s">
        <v>31</v>
      </c>
      <c r="H20" s="4" t="s">
        <v>40</v>
      </c>
      <c r="I20" s="4"/>
      <c r="J20" s="4"/>
    </row>
    <row r="21" spans="1:10" ht="30" customHeight="1" x14ac:dyDescent="0.25">
      <c r="A21" s="4" t="s">
        <v>1295</v>
      </c>
      <c r="B21" s="4" t="s">
        <v>1203</v>
      </c>
      <c r="C21" s="4" t="s">
        <v>1296</v>
      </c>
      <c r="D21" s="4" t="s">
        <v>1297</v>
      </c>
      <c r="E21" s="4" t="s">
        <v>1211</v>
      </c>
      <c r="F21" s="4" t="s">
        <v>1298</v>
      </c>
      <c r="G21" s="4" t="s">
        <v>35</v>
      </c>
      <c r="H21" s="4" t="s">
        <v>40</v>
      </c>
      <c r="I21" s="4"/>
      <c r="J21" s="4"/>
    </row>
    <row r="22" spans="1:10" ht="60" customHeight="1" x14ac:dyDescent="0.25">
      <c r="A22" s="4" t="s">
        <v>1299</v>
      </c>
      <c r="B22" s="4" t="s">
        <v>1203</v>
      </c>
      <c r="C22" s="4" t="s">
        <v>1300</v>
      </c>
      <c r="D22" s="4" t="s">
        <v>1301</v>
      </c>
      <c r="E22" s="4" t="s">
        <v>1302</v>
      </c>
      <c r="F22" s="4" t="s">
        <v>1303</v>
      </c>
      <c r="G22" s="4" t="s">
        <v>33</v>
      </c>
      <c r="H22" s="4" t="s">
        <v>40</v>
      </c>
      <c r="I22" s="4"/>
      <c r="J22" s="4"/>
    </row>
    <row r="23" spans="1:10" ht="30" customHeight="1" x14ac:dyDescent="0.25">
      <c r="A23" s="4" t="s">
        <v>1304</v>
      </c>
      <c r="B23" s="4" t="s">
        <v>1203</v>
      </c>
      <c r="C23" s="4" t="s">
        <v>1305</v>
      </c>
      <c r="D23" s="4" t="s">
        <v>1306</v>
      </c>
      <c r="E23" s="4" t="s">
        <v>1307</v>
      </c>
      <c r="F23" s="4" t="s">
        <v>1308</v>
      </c>
      <c r="G23" s="4" t="s">
        <v>31</v>
      </c>
      <c r="H23" s="4" t="s">
        <v>40</v>
      </c>
      <c r="I23" s="4"/>
      <c r="J23" s="4"/>
    </row>
    <row r="24" spans="1:10" ht="45" customHeight="1" x14ac:dyDescent="0.25">
      <c r="A24" s="4" t="s">
        <v>1309</v>
      </c>
      <c r="B24" s="4" t="s">
        <v>1203</v>
      </c>
      <c r="C24" s="4" t="s">
        <v>1310</v>
      </c>
      <c r="D24" s="4" t="s">
        <v>245</v>
      </c>
      <c r="E24" s="4" t="s">
        <v>1311</v>
      </c>
      <c r="F24" s="4" t="s">
        <v>1312</v>
      </c>
      <c r="G24" s="4" t="s">
        <v>35</v>
      </c>
      <c r="H24" s="4" t="s">
        <v>40</v>
      </c>
      <c r="I24" s="4"/>
      <c r="J24" s="4"/>
    </row>
  </sheetData>
  <autoFilter ref="A1:J24" xr:uid="{00000000-0009-0000-0000-00000B000000}"/>
  <dataValidations count="3">
    <dataValidation type="list" allowBlank="1" errorTitle="Resultado inválido" error="Seleccione: Pasa, Falla, Bloqueado o Pendiente" sqref="I2:I24" xr:uid="{00000000-0002-0000-0B00-000000000000}">
      <formula1>"Pasa,Falla,Bloqueado,Pendiente"</formula1>
    </dataValidation>
    <dataValidation type="list" allowBlank="1" errorTitle="Prioridad inválida" error="Seleccione: Crítica, Alta, Media o Baja" sqref="G2:G24" xr:uid="{00000000-0002-0000-0B00-000001000000}">
      <formula1>"Crítica,Alta,Media,Baja"</formula1>
    </dataValidation>
    <dataValidation type="list" allowBlank="1" errorTitle="Tipo inválido" error="Seleccione: Real o Simulado" sqref="H2:H24" xr:uid="{00000000-0002-0000-0B00-000002000000}">
      <formula1>"Real,Simulado"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75" customHeight="1" x14ac:dyDescent="0.25">
      <c r="A2" s="4" t="s">
        <v>1313</v>
      </c>
      <c r="B2" s="4" t="s">
        <v>1314</v>
      </c>
      <c r="C2" s="4" t="s">
        <v>1315</v>
      </c>
      <c r="D2" s="4" t="s">
        <v>1316</v>
      </c>
      <c r="E2" s="4" t="s">
        <v>1317</v>
      </c>
      <c r="F2" s="4" t="s">
        <v>1318</v>
      </c>
      <c r="G2" s="4" t="s">
        <v>31</v>
      </c>
      <c r="H2" s="4" t="s">
        <v>40</v>
      </c>
      <c r="I2" s="4"/>
      <c r="J2" s="4"/>
    </row>
    <row r="3" spans="1:10" ht="30" customHeight="1" x14ac:dyDescent="0.25">
      <c r="A3" s="4" t="s">
        <v>1319</v>
      </c>
      <c r="B3" s="4" t="s">
        <v>1314</v>
      </c>
      <c r="C3" s="4" t="s">
        <v>1320</v>
      </c>
      <c r="D3" s="4" t="s">
        <v>1321</v>
      </c>
      <c r="E3" s="4" t="s">
        <v>1322</v>
      </c>
      <c r="F3" s="4" t="s">
        <v>1323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1324</v>
      </c>
      <c r="B4" s="4" t="s">
        <v>1314</v>
      </c>
      <c r="C4" s="4" t="s">
        <v>1325</v>
      </c>
      <c r="D4" s="4" t="s">
        <v>1326</v>
      </c>
      <c r="E4" s="4" t="s">
        <v>1327</v>
      </c>
      <c r="F4" s="4" t="s">
        <v>1328</v>
      </c>
      <c r="G4" s="4" t="s">
        <v>31</v>
      </c>
      <c r="H4" s="4" t="s">
        <v>40</v>
      </c>
      <c r="I4" s="4"/>
      <c r="J4" s="4"/>
    </row>
    <row r="5" spans="1:10" ht="45" customHeight="1" x14ac:dyDescent="0.25">
      <c r="A5" s="4" t="s">
        <v>1329</v>
      </c>
      <c r="B5" s="4" t="s">
        <v>1314</v>
      </c>
      <c r="C5" s="4" t="s">
        <v>1330</v>
      </c>
      <c r="D5" s="4" t="s">
        <v>1331</v>
      </c>
      <c r="E5" s="4" t="s">
        <v>1332</v>
      </c>
      <c r="F5" s="4" t="s">
        <v>1333</v>
      </c>
      <c r="G5" s="4" t="s">
        <v>31</v>
      </c>
      <c r="H5" s="4" t="s">
        <v>40</v>
      </c>
      <c r="I5" s="4"/>
      <c r="J5" s="4"/>
    </row>
    <row r="6" spans="1:10" ht="30" customHeight="1" x14ac:dyDescent="0.25">
      <c r="A6" s="4" t="s">
        <v>1334</v>
      </c>
      <c r="B6" s="4" t="s">
        <v>1314</v>
      </c>
      <c r="C6" s="4" t="s">
        <v>1335</v>
      </c>
      <c r="D6" s="4" t="s">
        <v>1336</v>
      </c>
      <c r="E6" s="4" t="s">
        <v>1337</v>
      </c>
      <c r="F6" s="4" t="s">
        <v>1338</v>
      </c>
      <c r="G6" s="4" t="s">
        <v>33</v>
      </c>
      <c r="H6" s="4" t="s">
        <v>40</v>
      </c>
      <c r="I6" s="4"/>
      <c r="J6" s="4"/>
    </row>
    <row r="7" spans="1:10" ht="30" customHeight="1" x14ac:dyDescent="0.25">
      <c r="A7" s="4" t="s">
        <v>1339</v>
      </c>
      <c r="B7" s="4" t="s">
        <v>1314</v>
      </c>
      <c r="C7" s="4" t="s">
        <v>1340</v>
      </c>
      <c r="D7" s="4" t="s">
        <v>1336</v>
      </c>
      <c r="E7" s="4" t="s">
        <v>1341</v>
      </c>
      <c r="F7" s="4" t="s">
        <v>1342</v>
      </c>
      <c r="G7" s="4" t="s">
        <v>33</v>
      </c>
      <c r="H7" s="4" t="s">
        <v>40</v>
      </c>
      <c r="I7" s="4"/>
      <c r="J7" s="4"/>
    </row>
    <row r="8" spans="1:10" ht="30" customHeight="1" x14ac:dyDescent="0.25">
      <c r="A8" s="4" t="s">
        <v>1343</v>
      </c>
      <c r="B8" s="4" t="s">
        <v>1314</v>
      </c>
      <c r="C8" s="4" t="s">
        <v>1344</v>
      </c>
      <c r="D8" s="4" t="s">
        <v>1345</v>
      </c>
      <c r="E8" s="4" t="s">
        <v>1346</v>
      </c>
      <c r="F8" s="4" t="s">
        <v>1347</v>
      </c>
      <c r="G8" s="4" t="s">
        <v>35</v>
      </c>
      <c r="H8" s="4" t="s">
        <v>40</v>
      </c>
      <c r="I8" s="4"/>
      <c r="J8" s="4"/>
    </row>
    <row r="9" spans="1:10" ht="60" customHeight="1" x14ac:dyDescent="0.25">
      <c r="A9" s="4" t="s">
        <v>1348</v>
      </c>
      <c r="B9" s="4" t="s">
        <v>1314</v>
      </c>
      <c r="C9" s="4" t="s">
        <v>1349</v>
      </c>
      <c r="D9" s="4" t="s">
        <v>1336</v>
      </c>
      <c r="E9" s="4" t="s">
        <v>1350</v>
      </c>
      <c r="F9" s="4" t="s">
        <v>1351</v>
      </c>
      <c r="G9" s="4" t="s">
        <v>31</v>
      </c>
      <c r="H9" s="4" t="s">
        <v>40</v>
      </c>
      <c r="I9" s="4"/>
      <c r="J9" s="4"/>
    </row>
    <row r="10" spans="1:10" ht="60" customHeight="1" x14ac:dyDescent="0.25">
      <c r="A10" s="4" t="s">
        <v>1352</v>
      </c>
      <c r="B10" s="4" t="s">
        <v>1314</v>
      </c>
      <c r="C10" s="4" t="s">
        <v>1353</v>
      </c>
      <c r="D10" s="4" t="s">
        <v>1354</v>
      </c>
      <c r="E10" s="4" t="s">
        <v>1355</v>
      </c>
      <c r="F10" s="4" t="s">
        <v>1356</v>
      </c>
      <c r="G10" s="4" t="s">
        <v>31</v>
      </c>
      <c r="H10" s="4" t="s">
        <v>40</v>
      </c>
      <c r="I10" s="4"/>
      <c r="J10" s="4"/>
    </row>
    <row r="11" spans="1:10" ht="30" customHeight="1" x14ac:dyDescent="0.25">
      <c r="A11" s="4" t="s">
        <v>1357</v>
      </c>
      <c r="B11" s="4" t="s">
        <v>1314</v>
      </c>
      <c r="C11" s="4" t="s">
        <v>1358</v>
      </c>
      <c r="D11" s="4" t="s">
        <v>1359</v>
      </c>
      <c r="E11" s="4" t="s">
        <v>1360</v>
      </c>
      <c r="F11" s="4" t="s">
        <v>1361</v>
      </c>
      <c r="G11" s="4" t="s">
        <v>33</v>
      </c>
      <c r="H11" s="4" t="s">
        <v>40</v>
      </c>
      <c r="I11" s="4"/>
      <c r="J11" s="4"/>
    </row>
    <row r="12" spans="1:10" ht="30" customHeight="1" x14ac:dyDescent="0.25">
      <c r="A12" s="4" t="s">
        <v>1362</v>
      </c>
      <c r="B12" s="4" t="s">
        <v>1314</v>
      </c>
      <c r="C12" s="4" t="s">
        <v>1363</v>
      </c>
      <c r="D12" s="4" t="s">
        <v>1364</v>
      </c>
      <c r="E12" s="4" t="s">
        <v>1365</v>
      </c>
      <c r="F12" s="4" t="s">
        <v>1366</v>
      </c>
      <c r="G12" s="4" t="s">
        <v>35</v>
      </c>
      <c r="H12" s="4" t="s">
        <v>40</v>
      </c>
      <c r="I12" s="4"/>
      <c r="J12" s="4"/>
    </row>
    <row r="13" spans="1:10" ht="30" customHeight="1" x14ac:dyDescent="0.25">
      <c r="A13" s="4" t="s">
        <v>1367</v>
      </c>
      <c r="B13" s="4" t="s">
        <v>1314</v>
      </c>
      <c r="C13" s="4" t="s">
        <v>453</v>
      </c>
      <c r="D13" s="4" t="s">
        <v>1368</v>
      </c>
      <c r="E13" s="4" t="s">
        <v>1369</v>
      </c>
      <c r="F13" s="4" t="s">
        <v>1370</v>
      </c>
      <c r="G13" s="4" t="s">
        <v>35</v>
      </c>
      <c r="H13" s="4" t="s">
        <v>40</v>
      </c>
      <c r="I13" s="4"/>
      <c r="J13" s="4"/>
    </row>
    <row r="14" spans="1:10" ht="30" customHeight="1" x14ac:dyDescent="0.25">
      <c r="A14" s="4" t="s">
        <v>1371</v>
      </c>
      <c r="B14" s="4" t="s">
        <v>1314</v>
      </c>
      <c r="C14" s="4" t="s">
        <v>1372</v>
      </c>
      <c r="D14" s="4" t="s">
        <v>1373</v>
      </c>
      <c r="E14" s="4" t="s">
        <v>1374</v>
      </c>
      <c r="F14" s="4" t="s">
        <v>1375</v>
      </c>
      <c r="G14" s="4" t="s">
        <v>31</v>
      </c>
      <c r="H14" s="4" t="s">
        <v>40</v>
      </c>
      <c r="I14" s="4"/>
      <c r="J14" s="4"/>
    </row>
    <row r="15" spans="1:10" ht="30" customHeight="1" x14ac:dyDescent="0.25">
      <c r="A15" s="4" t="s">
        <v>1376</v>
      </c>
      <c r="B15" s="4" t="s">
        <v>1314</v>
      </c>
      <c r="C15" s="4" t="s">
        <v>1377</v>
      </c>
      <c r="D15" s="4" t="s">
        <v>1378</v>
      </c>
      <c r="E15" s="4" t="s">
        <v>840</v>
      </c>
      <c r="F15" s="4" t="s">
        <v>1379</v>
      </c>
      <c r="G15" s="4" t="s">
        <v>33</v>
      </c>
      <c r="H15" s="4" t="s">
        <v>40</v>
      </c>
      <c r="I15" s="4"/>
      <c r="J15" s="4"/>
    </row>
    <row r="16" spans="1:10" ht="30" customHeight="1" x14ac:dyDescent="0.25">
      <c r="A16" s="4" t="s">
        <v>1380</v>
      </c>
      <c r="B16" s="4" t="s">
        <v>1314</v>
      </c>
      <c r="C16" s="4" t="s">
        <v>636</v>
      </c>
      <c r="D16" s="4" t="s">
        <v>1381</v>
      </c>
      <c r="E16" s="4" t="s">
        <v>1382</v>
      </c>
      <c r="F16" s="4" t="s">
        <v>1383</v>
      </c>
      <c r="G16" s="4" t="s">
        <v>37</v>
      </c>
      <c r="H16" s="4" t="s">
        <v>40</v>
      </c>
      <c r="I16" s="4"/>
      <c r="J16" s="4"/>
    </row>
    <row r="17" spans="1:10" ht="30" customHeight="1" x14ac:dyDescent="0.25">
      <c r="A17" s="4" t="s">
        <v>1384</v>
      </c>
      <c r="B17" s="4" t="s">
        <v>1314</v>
      </c>
      <c r="C17" s="4" t="s">
        <v>1385</v>
      </c>
      <c r="D17" s="4" t="s">
        <v>281</v>
      </c>
      <c r="E17" s="4" t="s">
        <v>472</v>
      </c>
      <c r="F17" s="4" t="s">
        <v>641</v>
      </c>
      <c r="G17" s="4" t="s">
        <v>31</v>
      </c>
      <c r="H17" s="4" t="s">
        <v>40</v>
      </c>
      <c r="I17" s="4"/>
      <c r="J17" s="4"/>
    </row>
    <row r="18" spans="1:10" ht="30" customHeight="1" x14ac:dyDescent="0.25">
      <c r="A18" s="4" t="s">
        <v>1386</v>
      </c>
      <c r="B18" s="4" t="s">
        <v>1314</v>
      </c>
      <c r="C18" s="4" t="s">
        <v>1387</v>
      </c>
      <c r="D18" s="4" t="s">
        <v>1388</v>
      </c>
      <c r="E18" s="4" t="s">
        <v>1389</v>
      </c>
      <c r="F18" s="4" t="s">
        <v>1390</v>
      </c>
      <c r="G18" s="4" t="s">
        <v>31</v>
      </c>
      <c r="H18" s="4" t="s">
        <v>40</v>
      </c>
      <c r="I18" s="4"/>
      <c r="J18" s="4"/>
    </row>
    <row r="19" spans="1:10" ht="30" customHeight="1" x14ac:dyDescent="0.25">
      <c r="A19" s="4" t="s">
        <v>1391</v>
      </c>
      <c r="B19" s="4" t="s">
        <v>1314</v>
      </c>
      <c r="C19" s="4" t="s">
        <v>1392</v>
      </c>
      <c r="D19" s="4" t="s">
        <v>1393</v>
      </c>
      <c r="E19" s="4" t="s">
        <v>1394</v>
      </c>
      <c r="F19" s="4" t="s">
        <v>1395</v>
      </c>
      <c r="G19" s="4" t="s">
        <v>35</v>
      </c>
      <c r="H19" s="4" t="s">
        <v>40</v>
      </c>
      <c r="I19" s="4"/>
      <c r="J19" s="4"/>
    </row>
    <row r="20" spans="1:10" ht="45" customHeight="1" x14ac:dyDescent="0.25">
      <c r="A20" s="4" t="s">
        <v>1396</v>
      </c>
      <c r="B20" s="4" t="s">
        <v>1314</v>
      </c>
      <c r="C20" s="4" t="s">
        <v>1397</v>
      </c>
      <c r="D20" s="4" t="s">
        <v>1321</v>
      </c>
      <c r="E20" s="4" t="s">
        <v>1398</v>
      </c>
      <c r="F20" s="4" t="s">
        <v>1399</v>
      </c>
      <c r="G20" s="4" t="s">
        <v>31</v>
      </c>
      <c r="H20" s="4" t="s">
        <v>40</v>
      </c>
      <c r="I20" s="4"/>
      <c r="J20" s="4"/>
    </row>
    <row r="21" spans="1:10" ht="45" customHeight="1" x14ac:dyDescent="0.25">
      <c r="A21" s="4" t="s">
        <v>1400</v>
      </c>
      <c r="B21" s="4" t="s">
        <v>1314</v>
      </c>
      <c r="C21" s="4" t="s">
        <v>1401</v>
      </c>
      <c r="D21" s="4" t="s">
        <v>1321</v>
      </c>
      <c r="E21" s="4" t="s">
        <v>1402</v>
      </c>
      <c r="F21" s="4" t="s">
        <v>1403</v>
      </c>
      <c r="G21" s="4" t="s">
        <v>33</v>
      </c>
      <c r="H21" s="4" t="s">
        <v>40</v>
      </c>
      <c r="I21" s="4"/>
      <c r="J21" s="4"/>
    </row>
    <row r="22" spans="1:10" ht="30" customHeight="1" x14ac:dyDescent="0.25">
      <c r="A22" s="4" t="s">
        <v>1404</v>
      </c>
      <c r="B22" s="4" t="s">
        <v>1314</v>
      </c>
      <c r="C22" s="4" t="s">
        <v>1405</v>
      </c>
      <c r="D22" s="4" t="s">
        <v>1406</v>
      </c>
      <c r="E22" s="4" t="s">
        <v>1407</v>
      </c>
      <c r="F22" s="4" t="s">
        <v>1408</v>
      </c>
      <c r="G22" s="4" t="s">
        <v>35</v>
      </c>
      <c r="H22" s="4" t="s">
        <v>40</v>
      </c>
      <c r="I22" s="4"/>
      <c r="J22" s="4"/>
    </row>
    <row r="23" spans="1:10" ht="30" customHeight="1" x14ac:dyDescent="0.25">
      <c r="A23" s="4" t="s">
        <v>1409</v>
      </c>
      <c r="B23" s="4" t="s">
        <v>1314</v>
      </c>
      <c r="C23" s="4" t="s">
        <v>1410</v>
      </c>
      <c r="D23" s="4" t="s">
        <v>1411</v>
      </c>
      <c r="E23" s="4" t="s">
        <v>1407</v>
      </c>
      <c r="F23" s="4" t="s">
        <v>1412</v>
      </c>
      <c r="G23" s="4" t="s">
        <v>35</v>
      </c>
      <c r="H23" s="4" t="s">
        <v>40</v>
      </c>
      <c r="I23" s="4"/>
      <c r="J23" s="4"/>
    </row>
    <row r="24" spans="1:10" ht="30" customHeight="1" x14ac:dyDescent="0.25">
      <c r="A24" s="4" t="s">
        <v>1413</v>
      </c>
      <c r="B24" s="4" t="s">
        <v>1314</v>
      </c>
      <c r="C24" s="4" t="s">
        <v>1414</v>
      </c>
      <c r="D24" s="4" t="s">
        <v>1415</v>
      </c>
      <c r="E24" s="4" t="s">
        <v>1416</v>
      </c>
      <c r="F24" s="4" t="s">
        <v>1417</v>
      </c>
      <c r="G24" s="4" t="s">
        <v>35</v>
      </c>
      <c r="H24" s="4" t="s">
        <v>40</v>
      </c>
      <c r="I24" s="4"/>
      <c r="J24" s="4"/>
    </row>
    <row r="25" spans="1:10" ht="30" customHeight="1" x14ac:dyDescent="0.25">
      <c r="A25" s="4" t="s">
        <v>1418</v>
      </c>
      <c r="B25" s="4" t="s">
        <v>1314</v>
      </c>
      <c r="C25" s="4" t="s">
        <v>1419</v>
      </c>
      <c r="D25" s="4" t="s">
        <v>1420</v>
      </c>
      <c r="E25" s="4" t="s">
        <v>1421</v>
      </c>
      <c r="F25" s="4" t="s">
        <v>1422</v>
      </c>
      <c r="G25" s="4" t="s">
        <v>33</v>
      </c>
      <c r="H25" s="4" t="s">
        <v>40</v>
      </c>
      <c r="I25" s="4"/>
      <c r="J25" s="4"/>
    </row>
    <row r="26" spans="1:10" ht="30" customHeight="1" x14ac:dyDescent="0.25">
      <c r="A26" s="4" t="s">
        <v>1423</v>
      </c>
      <c r="B26" s="4" t="s">
        <v>1314</v>
      </c>
      <c r="C26" s="4" t="s">
        <v>679</v>
      </c>
      <c r="D26" s="4" t="s">
        <v>347</v>
      </c>
      <c r="E26" s="4" t="s">
        <v>1382</v>
      </c>
      <c r="F26" s="4" t="s">
        <v>1424</v>
      </c>
      <c r="G26" s="4" t="s">
        <v>33</v>
      </c>
      <c r="H26" s="4" t="s">
        <v>40</v>
      </c>
      <c r="I26" s="4"/>
      <c r="J26" s="4"/>
    </row>
    <row r="27" spans="1:10" ht="30" customHeight="1" x14ac:dyDescent="0.25">
      <c r="A27" s="4" t="s">
        <v>1425</v>
      </c>
      <c r="B27" s="4" t="s">
        <v>1314</v>
      </c>
      <c r="C27" s="4" t="s">
        <v>1426</v>
      </c>
      <c r="D27" s="4" t="s">
        <v>347</v>
      </c>
      <c r="E27" s="4" t="s">
        <v>1427</v>
      </c>
      <c r="F27" s="4" t="s">
        <v>1428</v>
      </c>
      <c r="G27" s="4" t="s">
        <v>33</v>
      </c>
      <c r="H27" s="4" t="s">
        <v>40</v>
      </c>
      <c r="I27" s="4"/>
      <c r="J27" s="4"/>
    </row>
    <row r="28" spans="1:10" ht="30" customHeight="1" x14ac:dyDescent="0.25">
      <c r="A28" s="4" t="s">
        <v>1429</v>
      </c>
      <c r="B28" s="4" t="s">
        <v>1314</v>
      </c>
      <c r="C28" s="4" t="s">
        <v>1430</v>
      </c>
      <c r="D28" s="4" t="s">
        <v>347</v>
      </c>
      <c r="E28" s="4" t="s">
        <v>1431</v>
      </c>
      <c r="F28" s="4" t="s">
        <v>1432</v>
      </c>
      <c r="G28" s="4" t="s">
        <v>33</v>
      </c>
      <c r="H28" s="4" t="s">
        <v>40</v>
      </c>
      <c r="I28" s="4"/>
      <c r="J28" s="4"/>
    </row>
    <row r="29" spans="1:10" ht="30" customHeight="1" x14ac:dyDescent="0.25">
      <c r="A29" s="4" t="s">
        <v>1433</v>
      </c>
      <c r="B29" s="4" t="s">
        <v>1314</v>
      </c>
      <c r="C29" s="4" t="s">
        <v>1434</v>
      </c>
      <c r="D29" s="4" t="s">
        <v>1435</v>
      </c>
      <c r="E29" s="4" t="s">
        <v>1407</v>
      </c>
      <c r="F29" s="4" t="s">
        <v>1436</v>
      </c>
      <c r="G29" s="4" t="s">
        <v>35</v>
      </c>
      <c r="H29" s="4" t="s">
        <v>40</v>
      </c>
      <c r="I29" s="4"/>
      <c r="J29" s="4"/>
    </row>
    <row r="30" spans="1:10" ht="90" customHeight="1" x14ac:dyDescent="0.25">
      <c r="A30" s="4" t="s">
        <v>1437</v>
      </c>
      <c r="B30" s="4" t="s">
        <v>1314</v>
      </c>
      <c r="C30" s="4" t="s">
        <v>1438</v>
      </c>
      <c r="D30" s="4" t="s">
        <v>1439</v>
      </c>
      <c r="E30" s="4" t="s">
        <v>1440</v>
      </c>
      <c r="F30" s="4" t="s">
        <v>1441</v>
      </c>
      <c r="G30" s="4" t="s">
        <v>31</v>
      </c>
      <c r="H30" s="4" t="s">
        <v>40</v>
      </c>
      <c r="I30" s="4"/>
      <c r="J30" s="4"/>
    </row>
    <row r="31" spans="1:10" ht="45" customHeight="1" x14ac:dyDescent="0.25">
      <c r="A31" s="4" t="s">
        <v>1442</v>
      </c>
      <c r="B31" s="4" t="s">
        <v>1314</v>
      </c>
      <c r="C31" s="4" t="s">
        <v>1443</v>
      </c>
      <c r="D31" s="4" t="s">
        <v>1444</v>
      </c>
      <c r="E31" s="4" t="s">
        <v>840</v>
      </c>
      <c r="F31" s="4" t="s">
        <v>1445</v>
      </c>
      <c r="G31" s="4" t="s">
        <v>33</v>
      </c>
      <c r="H31" s="4" t="s">
        <v>40</v>
      </c>
      <c r="I31" s="4"/>
      <c r="J31" s="4"/>
    </row>
    <row r="32" spans="1:10" ht="30" customHeight="1" x14ac:dyDescent="0.25">
      <c r="A32" s="4" t="s">
        <v>1446</v>
      </c>
      <c r="B32" s="4" t="s">
        <v>1314</v>
      </c>
      <c r="C32" s="4" t="s">
        <v>1447</v>
      </c>
      <c r="D32" s="4" t="s">
        <v>1448</v>
      </c>
      <c r="E32" s="4" t="s">
        <v>1449</v>
      </c>
      <c r="F32" s="4" t="s">
        <v>1450</v>
      </c>
      <c r="G32" s="4" t="s">
        <v>35</v>
      </c>
      <c r="H32" s="4" t="s">
        <v>40</v>
      </c>
      <c r="I32" s="4"/>
      <c r="J32" s="4"/>
    </row>
    <row r="33" spans="1:10" ht="45" customHeight="1" x14ac:dyDescent="0.25">
      <c r="A33" s="4" t="s">
        <v>1451</v>
      </c>
      <c r="B33" s="4" t="s">
        <v>1314</v>
      </c>
      <c r="C33" s="4" t="s">
        <v>1452</v>
      </c>
      <c r="D33" s="4" t="s">
        <v>245</v>
      </c>
      <c r="E33" s="4" t="s">
        <v>1453</v>
      </c>
      <c r="F33" s="4" t="s">
        <v>1454</v>
      </c>
      <c r="G33" s="4" t="s">
        <v>35</v>
      </c>
      <c r="H33" s="4" t="s">
        <v>40</v>
      </c>
      <c r="I33" s="4"/>
      <c r="J33" s="4"/>
    </row>
    <row r="34" spans="1:10" ht="45" customHeight="1" x14ac:dyDescent="0.25">
      <c r="A34" s="4" t="s">
        <v>1455</v>
      </c>
      <c r="B34" s="4" t="s">
        <v>1314</v>
      </c>
      <c r="C34" s="4" t="s">
        <v>1456</v>
      </c>
      <c r="D34" s="4" t="s">
        <v>245</v>
      </c>
      <c r="E34" s="4" t="s">
        <v>1457</v>
      </c>
      <c r="F34" s="4" t="s">
        <v>1458</v>
      </c>
      <c r="G34" s="4" t="s">
        <v>37</v>
      </c>
      <c r="H34" s="4" t="s">
        <v>40</v>
      </c>
      <c r="I34" s="4"/>
      <c r="J34" s="4"/>
    </row>
  </sheetData>
  <autoFilter ref="A1:J34" xr:uid="{00000000-0009-0000-0000-00000C000000}"/>
  <dataValidations count="3">
    <dataValidation type="list" allowBlank="1" errorTitle="Resultado inválido" error="Seleccione: Pasa, Falla, Bloqueado o Pendiente" sqref="I2:I34" xr:uid="{00000000-0002-0000-0C00-000000000000}">
      <formula1>"Pasa,Falla,Bloqueado,Pendiente"</formula1>
    </dataValidation>
    <dataValidation type="list" allowBlank="1" errorTitle="Prioridad inválida" error="Seleccione: Crítica, Alta, Media o Baja" sqref="G2:G34" xr:uid="{00000000-0002-0000-0C00-000001000000}">
      <formula1>"Crítica,Alta,Media,Baja"</formula1>
    </dataValidation>
    <dataValidation type="list" allowBlank="1" errorTitle="Tipo inválido" error="Seleccione: Real o Simulado" sqref="H2:H34" xr:uid="{00000000-0002-0000-0C00-000002000000}">
      <formula1>"Real,Simulado"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60" customHeight="1" x14ac:dyDescent="0.25">
      <c r="A2" s="4" t="s">
        <v>1459</v>
      </c>
      <c r="B2" s="4" t="s">
        <v>1460</v>
      </c>
      <c r="C2" s="4" t="s">
        <v>1461</v>
      </c>
      <c r="D2" s="4" t="s">
        <v>1462</v>
      </c>
      <c r="E2" s="4" t="s">
        <v>1463</v>
      </c>
      <c r="F2" s="4" t="s">
        <v>1464</v>
      </c>
      <c r="G2" s="4" t="s">
        <v>33</v>
      </c>
      <c r="H2" s="4" t="s">
        <v>40</v>
      </c>
      <c r="I2" s="4"/>
      <c r="J2" s="4"/>
    </row>
    <row r="3" spans="1:10" ht="30" customHeight="1" x14ac:dyDescent="0.25">
      <c r="A3" s="4" t="s">
        <v>1465</v>
      </c>
      <c r="B3" s="4" t="s">
        <v>1460</v>
      </c>
      <c r="C3" s="4" t="s">
        <v>1466</v>
      </c>
      <c r="D3" s="4" t="s">
        <v>1096</v>
      </c>
      <c r="E3" s="4" t="s">
        <v>1467</v>
      </c>
      <c r="F3" s="4" t="s">
        <v>1468</v>
      </c>
      <c r="G3" s="4" t="s">
        <v>33</v>
      </c>
      <c r="H3" s="4" t="s">
        <v>40</v>
      </c>
      <c r="I3" s="4"/>
      <c r="J3" s="4"/>
    </row>
    <row r="4" spans="1:10" ht="45" customHeight="1" x14ac:dyDescent="0.25">
      <c r="A4" s="4" t="s">
        <v>1469</v>
      </c>
      <c r="B4" s="4" t="s">
        <v>1460</v>
      </c>
      <c r="C4" s="4" t="s">
        <v>1470</v>
      </c>
      <c r="D4" s="4" t="s">
        <v>1471</v>
      </c>
      <c r="E4" s="4" t="s">
        <v>1472</v>
      </c>
      <c r="F4" s="4" t="s">
        <v>1473</v>
      </c>
      <c r="G4" s="4" t="s">
        <v>33</v>
      </c>
      <c r="H4" s="4" t="s">
        <v>40</v>
      </c>
      <c r="I4" s="4"/>
      <c r="J4" s="4"/>
    </row>
    <row r="5" spans="1:10" ht="30" customHeight="1" x14ac:dyDescent="0.25">
      <c r="A5" s="4" t="s">
        <v>1474</v>
      </c>
      <c r="B5" s="4" t="s">
        <v>1460</v>
      </c>
      <c r="C5" s="4" t="s">
        <v>1475</v>
      </c>
      <c r="D5" s="4" t="s">
        <v>1476</v>
      </c>
      <c r="E5" s="4" t="s">
        <v>1477</v>
      </c>
      <c r="F5" s="4" t="s">
        <v>1478</v>
      </c>
      <c r="G5" s="4" t="s">
        <v>35</v>
      </c>
      <c r="H5" s="4" t="s">
        <v>40</v>
      </c>
      <c r="I5" s="4"/>
      <c r="J5" s="4"/>
    </row>
    <row r="6" spans="1:10" x14ac:dyDescent="0.25">
      <c r="A6" s="4" t="s">
        <v>1479</v>
      </c>
      <c r="B6" s="4" t="s">
        <v>1460</v>
      </c>
      <c r="C6" s="4" t="s">
        <v>1480</v>
      </c>
      <c r="D6" s="4" t="s">
        <v>1096</v>
      </c>
      <c r="E6" s="4" t="s">
        <v>1481</v>
      </c>
      <c r="F6" s="4" t="s">
        <v>1366</v>
      </c>
      <c r="G6" s="4" t="s">
        <v>35</v>
      </c>
      <c r="H6" s="4" t="s">
        <v>40</v>
      </c>
      <c r="I6" s="4"/>
      <c r="J6" s="4"/>
    </row>
    <row r="7" spans="1:10" ht="30" customHeight="1" x14ac:dyDescent="0.25">
      <c r="A7" s="4" t="s">
        <v>1482</v>
      </c>
      <c r="B7" s="4" t="s">
        <v>1460</v>
      </c>
      <c r="C7" s="4" t="s">
        <v>1483</v>
      </c>
      <c r="D7" s="4" t="s">
        <v>1096</v>
      </c>
      <c r="E7" s="4" t="s">
        <v>1484</v>
      </c>
      <c r="F7" s="4" t="s">
        <v>1485</v>
      </c>
      <c r="G7" s="4" t="s">
        <v>35</v>
      </c>
      <c r="H7" s="4" t="s">
        <v>40</v>
      </c>
      <c r="I7" s="4"/>
      <c r="J7" s="4"/>
    </row>
    <row r="8" spans="1:10" ht="30" customHeight="1" x14ac:dyDescent="0.25">
      <c r="A8" s="4" t="s">
        <v>1486</v>
      </c>
      <c r="B8" s="4" t="s">
        <v>1460</v>
      </c>
      <c r="C8" s="4" t="s">
        <v>1487</v>
      </c>
      <c r="D8" s="4" t="s">
        <v>1488</v>
      </c>
      <c r="E8" s="4" t="s">
        <v>726</v>
      </c>
      <c r="F8" s="4" t="s">
        <v>1489</v>
      </c>
      <c r="G8" s="4" t="s">
        <v>33</v>
      </c>
      <c r="H8" s="4" t="s">
        <v>40</v>
      </c>
      <c r="I8" s="4"/>
      <c r="J8" s="4"/>
    </row>
    <row r="9" spans="1:10" x14ac:dyDescent="0.25">
      <c r="A9" s="4" t="s">
        <v>1490</v>
      </c>
      <c r="B9" s="4" t="s">
        <v>1460</v>
      </c>
      <c r="C9" s="4" t="s">
        <v>1491</v>
      </c>
      <c r="D9" s="4" t="s">
        <v>1492</v>
      </c>
      <c r="E9" s="4" t="s">
        <v>726</v>
      </c>
      <c r="F9" s="4" t="s">
        <v>886</v>
      </c>
      <c r="G9" s="4" t="s">
        <v>37</v>
      </c>
      <c r="H9" s="4" t="s">
        <v>40</v>
      </c>
      <c r="I9" s="4"/>
      <c r="J9" s="4"/>
    </row>
    <row r="10" spans="1:10" ht="30" customHeight="1" x14ac:dyDescent="0.25">
      <c r="A10" s="4" t="s">
        <v>1493</v>
      </c>
      <c r="B10" s="4" t="s">
        <v>1460</v>
      </c>
      <c r="C10" s="4" t="s">
        <v>1494</v>
      </c>
      <c r="D10" s="4" t="s">
        <v>168</v>
      </c>
      <c r="E10" s="4" t="s">
        <v>472</v>
      </c>
      <c r="F10" s="4" t="s">
        <v>1495</v>
      </c>
      <c r="G10" s="4" t="s">
        <v>33</v>
      </c>
      <c r="H10" s="4" t="s">
        <v>40</v>
      </c>
      <c r="I10" s="4"/>
      <c r="J10" s="4"/>
    </row>
    <row r="11" spans="1:10" ht="30" customHeight="1" x14ac:dyDescent="0.25">
      <c r="A11" s="4" t="s">
        <v>1496</v>
      </c>
      <c r="B11" s="4" t="s">
        <v>1460</v>
      </c>
      <c r="C11" s="4" t="s">
        <v>1497</v>
      </c>
      <c r="D11" s="4" t="s">
        <v>1498</v>
      </c>
      <c r="E11" s="4" t="s">
        <v>1499</v>
      </c>
      <c r="F11" s="4" t="s">
        <v>1500</v>
      </c>
      <c r="G11" s="4" t="s">
        <v>33</v>
      </c>
      <c r="H11" s="4" t="s">
        <v>40</v>
      </c>
      <c r="I11" s="4"/>
      <c r="J11" s="4"/>
    </row>
    <row r="12" spans="1:10" ht="30" customHeight="1" x14ac:dyDescent="0.25">
      <c r="A12" s="4" t="s">
        <v>1501</v>
      </c>
      <c r="B12" s="4" t="s">
        <v>1460</v>
      </c>
      <c r="C12" s="4" t="s">
        <v>1502</v>
      </c>
      <c r="D12" s="4" t="s">
        <v>245</v>
      </c>
      <c r="E12" s="4" t="s">
        <v>1503</v>
      </c>
      <c r="F12" s="4" t="s">
        <v>1504</v>
      </c>
      <c r="G12" s="4" t="s">
        <v>35</v>
      </c>
      <c r="H12" s="4" t="s">
        <v>40</v>
      </c>
      <c r="I12" s="4"/>
      <c r="J12" s="4"/>
    </row>
    <row r="13" spans="1:10" ht="30" customHeight="1" x14ac:dyDescent="0.25">
      <c r="A13" s="4" t="s">
        <v>1505</v>
      </c>
      <c r="B13" s="4" t="s">
        <v>1460</v>
      </c>
      <c r="C13" s="4" t="s">
        <v>1266</v>
      </c>
      <c r="D13" s="4" t="s">
        <v>1506</v>
      </c>
      <c r="E13" s="4" t="s">
        <v>1507</v>
      </c>
      <c r="F13" s="4" t="s">
        <v>1508</v>
      </c>
      <c r="G13" s="4" t="s">
        <v>37</v>
      </c>
      <c r="H13" s="4" t="s">
        <v>40</v>
      </c>
      <c r="I13" s="4"/>
      <c r="J13" s="4"/>
    </row>
    <row r="14" spans="1:10" x14ac:dyDescent="0.25">
      <c r="A14" s="4" t="s">
        <v>1509</v>
      </c>
      <c r="B14" s="4" t="s">
        <v>1460</v>
      </c>
      <c r="C14" s="4" t="s">
        <v>1510</v>
      </c>
      <c r="D14" s="4" t="s">
        <v>1511</v>
      </c>
      <c r="E14" s="4" t="s">
        <v>1512</v>
      </c>
      <c r="F14" s="4" t="s">
        <v>1513</v>
      </c>
      <c r="G14" s="4" t="s">
        <v>35</v>
      </c>
      <c r="H14" s="4" t="s">
        <v>40</v>
      </c>
      <c r="I14" s="4"/>
      <c r="J14" s="4"/>
    </row>
    <row r="15" spans="1:10" x14ac:dyDescent="0.25">
      <c r="A15" s="4" t="s">
        <v>1514</v>
      </c>
      <c r="B15" s="4" t="s">
        <v>1460</v>
      </c>
      <c r="C15" s="4" t="s">
        <v>679</v>
      </c>
      <c r="D15" s="4" t="s">
        <v>347</v>
      </c>
      <c r="E15" s="4" t="s">
        <v>1515</v>
      </c>
      <c r="F15" s="4" t="s">
        <v>1489</v>
      </c>
      <c r="G15" s="4" t="s">
        <v>33</v>
      </c>
      <c r="H15" s="4" t="s">
        <v>40</v>
      </c>
      <c r="I15" s="4"/>
      <c r="J15" s="4"/>
    </row>
    <row r="16" spans="1:10" ht="30" customHeight="1" x14ac:dyDescent="0.25">
      <c r="A16" s="4" t="s">
        <v>1516</v>
      </c>
      <c r="B16" s="4" t="s">
        <v>1460</v>
      </c>
      <c r="C16" s="4" t="s">
        <v>1517</v>
      </c>
      <c r="D16" s="4" t="s">
        <v>347</v>
      </c>
      <c r="E16" s="4" t="s">
        <v>1518</v>
      </c>
      <c r="F16" s="4" t="s">
        <v>1519</v>
      </c>
      <c r="G16" s="4" t="s">
        <v>33</v>
      </c>
      <c r="H16" s="4" t="s">
        <v>40</v>
      </c>
      <c r="I16" s="4"/>
      <c r="J16" s="4"/>
    </row>
    <row r="17" spans="1:10" ht="30" customHeight="1" x14ac:dyDescent="0.25">
      <c r="A17" s="4" t="s">
        <v>1520</v>
      </c>
      <c r="B17" s="4" t="s">
        <v>1460</v>
      </c>
      <c r="C17" s="4" t="s">
        <v>1521</v>
      </c>
      <c r="D17" s="4" t="s">
        <v>1522</v>
      </c>
      <c r="E17" s="4" t="s">
        <v>1518</v>
      </c>
      <c r="F17" s="4" t="s">
        <v>1523</v>
      </c>
      <c r="G17" s="4" t="s">
        <v>35</v>
      </c>
      <c r="H17" s="4" t="s">
        <v>40</v>
      </c>
      <c r="I17" s="4"/>
      <c r="J17" s="4"/>
    </row>
    <row r="18" spans="1:10" ht="30" customHeight="1" x14ac:dyDescent="0.25">
      <c r="A18" s="4" t="s">
        <v>1524</v>
      </c>
      <c r="B18" s="4" t="s">
        <v>1460</v>
      </c>
      <c r="C18" s="4" t="s">
        <v>1525</v>
      </c>
      <c r="D18" s="4" t="s">
        <v>1526</v>
      </c>
      <c r="E18" s="4" t="s">
        <v>1527</v>
      </c>
      <c r="F18" s="4" t="s">
        <v>1528</v>
      </c>
      <c r="G18" s="4" t="s">
        <v>37</v>
      </c>
      <c r="H18" s="4" t="s">
        <v>40</v>
      </c>
      <c r="I18" s="4"/>
      <c r="J18" s="4"/>
    </row>
    <row r="19" spans="1:10" ht="75" customHeight="1" x14ac:dyDescent="0.25">
      <c r="A19" s="4" t="s">
        <v>1529</v>
      </c>
      <c r="B19" s="4" t="s">
        <v>1460</v>
      </c>
      <c r="C19" s="4" t="s">
        <v>1530</v>
      </c>
      <c r="D19" s="4" t="s">
        <v>245</v>
      </c>
      <c r="E19" s="4" t="s">
        <v>1531</v>
      </c>
      <c r="F19" s="4" t="s">
        <v>1532</v>
      </c>
      <c r="G19" s="4" t="s">
        <v>31</v>
      </c>
      <c r="H19" s="4" t="s">
        <v>40</v>
      </c>
      <c r="I19" s="4"/>
      <c r="J19" s="4"/>
    </row>
    <row r="20" spans="1:10" ht="60" customHeight="1" x14ac:dyDescent="0.25">
      <c r="A20" s="4" t="s">
        <v>1533</v>
      </c>
      <c r="B20" s="4" t="s">
        <v>1460</v>
      </c>
      <c r="C20" s="4" t="s">
        <v>1534</v>
      </c>
      <c r="D20" s="4" t="s">
        <v>1535</v>
      </c>
      <c r="E20" s="4" t="s">
        <v>1536</v>
      </c>
      <c r="F20" s="4" t="s">
        <v>1537</v>
      </c>
      <c r="G20" s="4" t="s">
        <v>33</v>
      </c>
      <c r="H20" s="4" t="s">
        <v>40</v>
      </c>
      <c r="I20" s="4"/>
      <c r="J20" s="4"/>
    </row>
    <row r="21" spans="1:10" ht="60" customHeight="1" x14ac:dyDescent="0.25">
      <c r="A21" s="4" t="s">
        <v>1538</v>
      </c>
      <c r="B21" s="4" t="s">
        <v>1460</v>
      </c>
      <c r="C21" s="4" t="s">
        <v>1539</v>
      </c>
      <c r="D21" s="4" t="s">
        <v>1540</v>
      </c>
      <c r="E21" s="4" t="s">
        <v>1541</v>
      </c>
      <c r="F21" s="4" t="s">
        <v>1542</v>
      </c>
      <c r="G21" s="4" t="s">
        <v>35</v>
      </c>
      <c r="H21" s="4" t="s">
        <v>40</v>
      </c>
      <c r="I21" s="4"/>
      <c r="J21" s="4"/>
    </row>
  </sheetData>
  <autoFilter ref="A1:J21" xr:uid="{00000000-0009-0000-0000-00000D000000}"/>
  <dataValidations count="3">
    <dataValidation type="list" allowBlank="1" errorTitle="Resultado inválido" error="Seleccione: Pasa, Falla, Bloqueado o Pendiente" sqref="I2:I21" xr:uid="{00000000-0002-0000-0D00-000000000000}">
      <formula1>"Pasa,Falla,Bloqueado,Pendiente"</formula1>
    </dataValidation>
    <dataValidation type="list" allowBlank="1" errorTitle="Prioridad inválida" error="Seleccione: Crítica, Alta, Media o Baja" sqref="G2:G21" xr:uid="{00000000-0002-0000-0D00-000001000000}">
      <formula1>"Crítica,Alta,Media,Baja"</formula1>
    </dataValidation>
    <dataValidation type="list" allowBlank="1" errorTitle="Tipo inválido" error="Seleccione: Real o Simulado" sqref="H2:H21" xr:uid="{00000000-0002-0000-0D00-000002000000}">
      <formula1>"Real,Simulado"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workbookViewId="0"/>
  </sheetViews>
  <sheetFormatPr baseColWidth="10" defaultColWidth="9.140625" defaultRowHeight="15" x14ac:dyDescent="0.25"/>
  <cols>
    <col min="1" max="1" width="15" style="14" customWidth="1"/>
    <col min="2" max="2" width="80" style="14" customWidth="1"/>
  </cols>
  <sheetData>
    <row r="1" spans="1:4" ht="21" customHeight="1" x14ac:dyDescent="0.35">
      <c r="A1" s="17" t="s">
        <v>1543</v>
      </c>
      <c r="B1" s="16"/>
      <c r="C1" s="16"/>
      <c r="D1" s="16"/>
    </row>
    <row r="3" spans="1:4" x14ac:dyDescent="0.25">
      <c r="A3" s="1" t="s">
        <v>1544</v>
      </c>
      <c r="B3" t="s">
        <v>1545</v>
      </c>
    </row>
    <row r="4" spans="1:4" x14ac:dyDescent="0.25">
      <c r="A4" s="1" t="s">
        <v>1546</v>
      </c>
      <c r="B4" t="s">
        <v>1547</v>
      </c>
    </row>
    <row r="5" spans="1:4" x14ac:dyDescent="0.25">
      <c r="A5" s="1" t="s">
        <v>1548</v>
      </c>
      <c r="B5" t="s">
        <v>1549</v>
      </c>
    </row>
    <row r="6" spans="1:4" x14ac:dyDescent="0.25">
      <c r="B6" t="s">
        <v>1550</v>
      </c>
    </row>
    <row r="7" spans="1:4" x14ac:dyDescent="0.25">
      <c r="B7" t="s">
        <v>1551</v>
      </c>
    </row>
    <row r="8" spans="1:4" x14ac:dyDescent="0.25">
      <c r="B8" t="s">
        <v>1552</v>
      </c>
    </row>
    <row r="9" spans="1:4" x14ac:dyDescent="0.25">
      <c r="B9" t="s">
        <v>1553</v>
      </c>
    </row>
    <row r="10" spans="1:4" x14ac:dyDescent="0.25">
      <c r="B10" t="s">
        <v>1554</v>
      </c>
    </row>
    <row r="11" spans="1:4" x14ac:dyDescent="0.25">
      <c r="B11" t="s">
        <v>1555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45" customHeight="1" x14ac:dyDescent="0.25">
      <c r="A2" s="4" t="s">
        <v>1556</v>
      </c>
      <c r="B2" s="4" t="s">
        <v>1557</v>
      </c>
      <c r="C2" s="4" t="s">
        <v>1558</v>
      </c>
      <c r="D2" s="4" t="s">
        <v>1559</v>
      </c>
      <c r="E2" s="4" t="s">
        <v>1560</v>
      </c>
      <c r="F2" s="4" t="s">
        <v>1561</v>
      </c>
      <c r="G2" s="4" t="s">
        <v>31</v>
      </c>
      <c r="H2" s="4" t="s">
        <v>40</v>
      </c>
      <c r="I2" s="4" t="s">
        <v>1003</v>
      </c>
      <c r="J2" s="4" t="s">
        <v>1029</v>
      </c>
    </row>
    <row r="3" spans="1:10" ht="30" customHeight="1" x14ac:dyDescent="0.25">
      <c r="A3" s="4" t="s">
        <v>1562</v>
      </c>
      <c r="B3" s="4" t="s">
        <v>1557</v>
      </c>
      <c r="C3" s="4" t="s">
        <v>1563</v>
      </c>
      <c r="D3" s="4" t="s">
        <v>1564</v>
      </c>
      <c r="E3" s="4" t="s">
        <v>1565</v>
      </c>
      <c r="F3" s="4" t="s">
        <v>1566</v>
      </c>
      <c r="G3" s="4" t="s">
        <v>33</v>
      </c>
      <c r="H3" s="4" t="s">
        <v>40</v>
      </c>
      <c r="I3" s="4" t="s">
        <v>1003</v>
      </c>
      <c r="J3" s="4" t="s">
        <v>1023</v>
      </c>
    </row>
    <row r="4" spans="1:10" ht="30" customHeight="1" x14ac:dyDescent="0.25">
      <c r="A4" s="4" t="s">
        <v>1567</v>
      </c>
      <c r="B4" s="4" t="s">
        <v>1557</v>
      </c>
      <c r="C4" s="4" t="s">
        <v>1568</v>
      </c>
      <c r="D4" s="4" t="s">
        <v>1564</v>
      </c>
      <c r="E4" s="4" t="s">
        <v>1569</v>
      </c>
      <c r="F4" s="4" t="s">
        <v>1570</v>
      </c>
      <c r="G4" s="4" t="s">
        <v>35</v>
      </c>
      <c r="H4" s="4" t="s">
        <v>40</v>
      </c>
      <c r="I4" s="4" t="s">
        <v>1003</v>
      </c>
      <c r="J4" s="4" t="s">
        <v>1029</v>
      </c>
    </row>
    <row r="5" spans="1:10" ht="45" customHeight="1" x14ac:dyDescent="0.25">
      <c r="A5" s="4" t="s">
        <v>1571</v>
      </c>
      <c r="B5" s="4" t="s">
        <v>1557</v>
      </c>
      <c r="C5" s="4" t="s">
        <v>1572</v>
      </c>
      <c r="D5" s="4" t="s">
        <v>1573</v>
      </c>
      <c r="E5" s="4" t="s">
        <v>1574</v>
      </c>
      <c r="F5" s="4" t="s">
        <v>1575</v>
      </c>
      <c r="G5" s="4" t="s">
        <v>31</v>
      </c>
      <c r="H5" s="4" t="s">
        <v>40</v>
      </c>
      <c r="I5" s="4" t="s">
        <v>1003</v>
      </c>
      <c r="J5" s="4" t="s">
        <v>1576</v>
      </c>
    </row>
    <row r="6" spans="1:10" ht="30" customHeight="1" x14ac:dyDescent="0.25">
      <c r="A6" s="4" t="s">
        <v>1577</v>
      </c>
      <c r="B6" s="4" t="s">
        <v>1557</v>
      </c>
      <c r="C6" s="4" t="s">
        <v>1578</v>
      </c>
      <c r="D6" s="4" t="s">
        <v>1579</v>
      </c>
      <c r="E6" s="4" t="s">
        <v>1580</v>
      </c>
      <c r="F6" s="4" t="s">
        <v>1581</v>
      </c>
      <c r="G6" s="4" t="s">
        <v>33</v>
      </c>
      <c r="H6" s="4" t="s">
        <v>40</v>
      </c>
      <c r="I6" s="4" t="s">
        <v>1003</v>
      </c>
      <c r="J6" s="4" t="s">
        <v>1582</v>
      </c>
    </row>
    <row r="7" spans="1:10" ht="30" customHeight="1" x14ac:dyDescent="0.25">
      <c r="A7" s="4" t="s">
        <v>1583</v>
      </c>
      <c r="B7" s="4" t="s">
        <v>1557</v>
      </c>
      <c r="C7" s="4" t="s">
        <v>1584</v>
      </c>
      <c r="D7" s="4" t="s">
        <v>1564</v>
      </c>
      <c r="E7" s="4" t="s">
        <v>1585</v>
      </c>
      <c r="F7" s="4" t="s">
        <v>1586</v>
      </c>
      <c r="G7" s="4" t="s">
        <v>33</v>
      </c>
      <c r="H7" s="4" t="s">
        <v>40</v>
      </c>
      <c r="I7" s="4" t="s">
        <v>1016</v>
      </c>
      <c r="J7" s="4" t="s">
        <v>1017</v>
      </c>
    </row>
    <row r="8" spans="1:10" ht="30" customHeight="1" x14ac:dyDescent="0.25">
      <c r="A8" s="4" t="s">
        <v>1587</v>
      </c>
      <c r="B8" s="4" t="s">
        <v>1557</v>
      </c>
      <c r="C8" s="4" t="s">
        <v>1588</v>
      </c>
      <c r="D8" s="4" t="s">
        <v>1589</v>
      </c>
      <c r="E8" s="4" t="s">
        <v>1590</v>
      </c>
      <c r="F8" s="4" t="s">
        <v>1591</v>
      </c>
      <c r="G8" s="4" t="s">
        <v>31</v>
      </c>
      <c r="H8" s="4" t="s">
        <v>40</v>
      </c>
      <c r="I8" s="4" t="s">
        <v>1016</v>
      </c>
      <c r="J8" s="4" t="s">
        <v>1017</v>
      </c>
    </row>
    <row r="9" spans="1:10" ht="30" customHeight="1" x14ac:dyDescent="0.25">
      <c r="A9" s="4" t="s">
        <v>1592</v>
      </c>
      <c r="B9" s="4" t="s">
        <v>1557</v>
      </c>
      <c r="C9" s="4" t="s">
        <v>1593</v>
      </c>
      <c r="D9" s="4" t="s">
        <v>1594</v>
      </c>
      <c r="E9" s="4" t="s">
        <v>1595</v>
      </c>
      <c r="F9" s="4" t="s">
        <v>1596</v>
      </c>
      <c r="G9" s="4" t="s">
        <v>31</v>
      </c>
      <c r="H9" s="4" t="s">
        <v>40</v>
      </c>
      <c r="I9" s="4" t="s">
        <v>1003</v>
      </c>
      <c r="J9" s="4" t="s">
        <v>1597</v>
      </c>
    </row>
    <row r="10" spans="1:10" ht="45" customHeight="1" x14ac:dyDescent="0.25">
      <c r="A10" s="4" t="s">
        <v>1598</v>
      </c>
      <c r="B10" s="4" t="s">
        <v>1557</v>
      </c>
      <c r="C10" s="4" t="s">
        <v>834</v>
      </c>
      <c r="D10" s="4" t="s">
        <v>1599</v>
      </c>
      <c r="E10" s="4" t="s">
        <v>1600</v>
      </c>
      <c r="F10" s="4" t="s">
        <v>1601</v>
      </c>
      <c r="G10" s="4" t="s">
        <v>33</v>
      </c>
      <c r="H10" s="4" t="s">
        <v>40</v>
      </c>
      <c r="I10" s="4" t="s">
        <v>1016</v>
      </c>
      <c r="J10" s="4" t="s">
        <v>1017</v>
      </c>
    </row>
    <row r="11" spans="1:10" ht="30" customHeight="1" x14ac:dyDescent="0.25">
      <c r="A11" s="4" t="s">
        <v>1602</v>
      </c>
      <c r="B11" s="4" t="s">
        <v>1557</v>
      </c>
      <c r="C11" s="4" t="s">
        <v>1603</v>
      </c>
      <c r="D11" s="4" t="s">
        <v>1604</v>
      </c>
      <c r="E11" s="4" t="s">
        <v>1605</v>
      </c>
      <c r="F11" s="4" t="s">
        <v>1606</v>
      </c>
      <c r="G11" s="4" t="s">
        <v>35</v>
      </c>
      <c r="H11" s="4" t="s">
        <v>40</v>
      </c>
      <c r="I11" s="4" t="s">
        <v>1016</v>
      </c>
      <c r="J11" s="4" t="s">
        <v>1017</v>
      </c>
    </row>
    <row r="12" spans="1:10" ht="45" customHeight="1" x14ac:dyDescent="0.25">
      <c r="A12" s="4" t="s">
        <v>1607</v>
      </c>
      <c r="B12" s="4" t="s">
        <v>1557</v>
      </c>
      <c r="C12" s="4" t="s">
        <v>1608</v>
      </c>
      <c r="D12" s="4" t="s">
        <v>1609</v>
      </c>
      <c r="E12" s="4" t="s">
        <v>1610</v>
      </c>
      <c r="F12" s="4" t="s">
        <v>1611</v>
      </c>
      <c r="G12" s="4" t="s">
        <v>31</v>
      </c>
      <c r="H12" s="4" t="s">
        <v>40</v>
      </c>
      <c r="I12" s="4" t="s">
        <v>1003</v>
      </c>
      <c r="J12" s="4" t="s">
        <v>1612</v>
      </c>
    </row>
    <row r="13" spans="1:10" ht="45" customHeight="1" x14ac:dyDescent="0.25">
      <c r="A13" s="4" t="s">
        <v>1613</v>
      </c>
      <c r="B13" s="4" t="s">
        <v>1557</v>
      </c>
      <c r="C13" s="4" t="s">
        <v>1614</v>
      </c>
      <c r="D13" s="4" t="s">
        <v>1615</v>
      </c>
      <c r="E13" s="4" t="s">
        <v>1616</v>
      </c>
      <c r="F13" s="4" t="s">
        <v>1617</v>
      </c>
      <c r="G13" s="4" t="s">
        <v>31</v>
      </c>
      <c r="H13" s="4" t="s">
        <v>40</v>
      </c>
      <c r="I13" s="4" t="s">
        <v>1003</v>
      </c>
      <c r="J13" s="4" t="s">
        <v>1618</v>
      </c>
    </row>
    <row r="14" spans="1:10" ht="30" customHeight="1" x14ac:dyDescent="0.25">
      <c r="A14" s="4" t="s">
        <v>1619</v>
      </c>
      <c r="B14" s="4" t="s">
        <v>1557</v>
      </c>
      <c r="C14" s="4" t="s">
        <v>1620</v>
      </c>
      <c r="D14" s="4" t="s">
        <v>1621</v>
      </c>
      <c r="E14" s="4" t="s">
        <v>1622</v>
      </c>
      <c r="F14" s="4" t="s">
        <v>1623</v>
      </c>
      <c r="G14" s="4" t="s">
        <v>33</v>
      </c>
      <c r="H14" s="4" t="s">
        <v>40</v>
      </c>
      <c r="I14" s="4" t="s">
        <v>1016</v>
      </c>
      <c r="J14" s="4" t="s">
        <v>1624</v>
      </c>
    </row>
    <row r="15" spans="1:10" ht="30" customHeight="1" x14ac:dyDescent="0.25">
      <c r="A15" s="4" t="s">
        <v>1625</v>
      </c>
      <c r="B15" s="4" t="s">
        <v>1557</v>
      </c>
      <c r="C15" s="4" t="s">
        <v>1626</v>
      </c>
      <c r="D15" s="4" t="s">
        <v>1048</v>
      </c>
      <c r="E15" s="4" t="s">
        <v>1627</v>
      </c>
      <c r="F15" s="4" t="s">
        <v>1628</v>
      </c>
      <c r="G15" s="4" t="s">
        <v>31</v>
      </c>
      <c r="H15" s="4" t="s">
        <v>40</v>
      </c>
      <c r="I15" s="4" t="s">
        <v>1003</v>
      </c>
      <c r="J15" s="4" t="s">
        <v>1051</v>
      </c>
    </row>
  </sheetData>
  <autoFilter ref="A1:J15" xr:uid="{00000000-0009-0000-0000-00000F000000}"/>
  <dataValidations count="3">
    <dataValidation type="list" allowBlank="1" errorTitle="Resultado inválido" error="Seleccione: Pasa, Falla, Bloqueado o Pendiente" sqref="I2:I15" xr:uid="{00000000-0002-0000-0F00-000000000000}">
      <formula1>"Pasa,Falla,Bloqueado,Pendiente"</formula1>
    </dataValidation>
    <dataValidation type="list" allowBlank="1" errorTitle="Prioridad inválida" error="Seleccione: Crítica, Alta, Media o Baja" sqref="G2:G15" xr:uid="{00000000-0002-0000-0F00-000001000000}">
      <formula1>"Crítica,Alta,Media,Baja"</formula1>
    </dataValidation>
    <dataValidation type="list" allowBlank="1" errorTitle="Tipo inválido" error="Seleccione: Real o Simulado" sqref="H2:H15" xr:uid="{00000000-0002-0000-0F00-000002000000}">
      <formula1>"Real,Simulado"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30" customHeight="1" x14ac:dyDescent="0.25">
      <c r="A2" s="4" t="s">
        <v>1629</v>
      </c>
      <c r="B2" s="4" t="s">
        <v>1630</v>
      </c>
      <c r="C2" s="4" t="s">
        <v>1631</v>
      </c>
      <c r="D2" s="4"/>
      <c r="E2" s="4" t="s">
        <v>584</v>
      </c>
      <c r="F2" s="4" t="s">
        <v>1632</v>
      </c>
      <c r="G2" s="4" t="s">
        <v>31</v>
      </c>
      <c r="H2" s="4" t="s">
        <v>40</v>
      </c>
      <c r="I2" s="4"/>
      <c r="J2" s="4"/>
    </row>
    <row r="3" spans="1:10" ht="30" customHeight="1" x14ac:dyDescent="0.25">
      <c r="A3" s="4" t="s">
        <v>1633</v>
      </c>
      <c r="B3" s="4" t="s">
        <v>1630</v>
      </c>
      <c r="C3" s="4" t="s">
        <v>1634</v>
      </c>
      <c r="D3" s="4"/>
      <c r="E3" s="4" t="s">
        <v>1635</v>
      </c>
      <c r="F3" s="4" t="s">
        <v>1636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1637</v>
      </c>
      <c r="B4" s="4" t="s">
        <v>1630</v>
      </c>
      <c r="C4" s="4" t="s">
        <v>1638</v>
      </c>
      <c r="D4" s="4"/>
      <c r="E4" s="4" t="s">
        <v>1635</v>
      </c>
      <c r="F4" s="4" t="s">
        <v>1639</v>
      </c>
      <c r="G4" s="4" t="s">
        <v>31</v>
      </c>
      <c r="H4" s="4" t="s">
        <v>40</v>
      </c>
      <c r="I4" s="4"/>
      <c r="J4" s="4"/>
    </row>
    <row r="5" spans="1:10" ht="30" customHeight="1" x14ac:dyDescent="0.25">
      <c r="A5" s="4" t="s">
        <v>1640</v>
      </c>
      <c r="B5" s="4" t="s">
        <v>1630</v>
      </c>
      <c r="C5" s="4" t="s">
        <v>1641</v>
      </c>
      <c r="D5" s="4"/>
      <c r="E5" s="4" t="s">
        <v>1642</v>
      </c>
      <c r="F5" s="4" t="s">
        <v>1643</v>
      </c>
      <c r="G5" s="4" t="s">
        <v>31</v>
      </c>
      <c r="H5" s="4" t="s">
        <v>40</v>
      </c>
      <c r="I5" s="4"/>
      <c r="J5" s="4"/>
    </row>
    <row r="6" spans="1:10" ht="30" customHeight="1" x14ac:dyDescent="0.25">
      <c r="A6" s="4" t="s">
        <v>1644</v>
      </c>
      <c r="B6" s="4" t="s">
        <v>1630</v>
      </c>
      <c r="C6" s="4" t="s">
        <v>1645</v>
      </c>
      <c r="D6" s="4"/>
      <c r="E6" s="4" t="s">
        <v>1646</v>
      </c>
      <c r="F6" s="4" t="s">
        <v>1647</v>
      </c>
      <c r="G6" s="4" t="s">
        <v>33</v>
      </c>
      <c r="H6" s="4" t="s">
        <v>40</v>
      </c>
      <c r="I6" s="4"/>
      <c r="J6" s="4"/>
    </row>
    <row r="7" spans="1:10" ht="30" customHeight="1" x14ac:dyDescent="0.25">
      <c r="A7" s="4" t="s">
        <v>1648</v>
      </c>
      <c r="B7" s="4" t="s">
        <v>1630</v>
      </c>
      <c r="C7" s="4" t="s">
        <v>1649</v>
      </c>
      <c r="D7" s="4"/>
      <c r="E7" s="4" t="s">
        <v>1650</v>
      </c>
      <c r="F7" s="4" t="s">
        <v>1651</v>
      </c>
      <c r="G7" s="4" t="s">
        <v>33</v>
      </c>
      <c r="H7" s="4" t="s">
        <v>40</v>
      </c>
      <c r="I7" s="4"/>
      <c r="J7" s="4"/>
    </row>
    <row r="8" spans="1:10" ht="30" customHeight="1" x14ac:dyDescent="0.25">
      <c r="A8" s="4" t="s">
        <v>1652</v>
      </c>
      <c r="B8" s="4" t="s">
        <v>1630</v>
      </c>
      <c r="C8" s="4" t="s">
        <v>1653</v>
      </c>
      <c r="D8" s="4"/>
      <c r="E8" s="4" t="s">
        <v>1654</v>
      </c>
      <c r="F8" s="4" t="s">
        <v>1655</v>
      </c>
      <c r="G8" s="4" t="s">
        <v>35</v>
      </c>
      <c r="H8" s="4" t="s">
        <v>40</v>
      </c>
      <c r="I8" s="4"/>
      <c r="J8" s="4"/>
    </row>
    <row r="9" spans="1:10" ht="30" customHeight="1" x14ac:dyDescent="0.25">
      <c r="A9" s="4" t="s">
        <v>1656</v>
      </c>
      <c r="B9" s="4" t="s">
        <v>1630</v>
      </c>
      <c r="C9" s="4" t="s">
        <v>1657</v>
      </c>
      <c r="D9" s="4"/>
      <c r="E9" s="4" t="s">
        <v>1658</v>
      </c>
      <c r="F9" s="4" t="s">
        <v>1659</v>
      </c>
      <c r="G9" s="4" t="s">
        <v>35</v>
      </c>
      <c r="H9" s="4" t="s">
        <v>40</v>
      </c>
      <c r="I9" s="4"/>
      <c r="J9" s="4"/>
    </row>
    <row r="10" spans="1:10" ht="30" customHeight="1" x14ac:dyDescent="0.25">
      <c r="A10" s="4" t="s">
        <v>1660</v>
      </c>
      <c r="B10" s="4" t="s">
        <v>1630</v>
      </c>
      <c r="C10" s="4" t="s">
        <v>1661</v>
      </c>
      <c r="D10" s="4"/>
      <c r="E10" s="4" t="s">
        <v>1662</v>
      </c>
      <c r="F10" s="4" t="s">
        <v>1663</v>
      </c>
      <c r="G10" s="4" t="s">
        <v>35</v>
      </c>
      <c r="H10" s="4" t="s">
        <v>40</v>
      </c>
      <c r="I10" s="4"/>
      <c r="J10" s="4"/>
    </row>
    <row r="11" spans="1:10" ht="30" customHeight="1" x14ac:dyDescent="0.25">
      <c r="A11" s="4" t="s">
        <v>1664</v>
      </c>
      <c r="B11" s="4" t="s">
        <v>1630</v>
      </c>
      <c r="C11" s="4" t="s">
        <v>1665</v>
      </c>
      <c r="D11" s="4"/>
      <c r="E11" s="4" t="s">
        <v>1666</v>
      </c>
      <c r="F11" s="4" t="s">
        <v>1667</v>
      </c>
      <c r="G11" s="4" t="s">
        <v>31</v>
      </c>
      <c r="H11" s="4" t="s">
        <v>40</v>
      </c>
      <c r="I11" s="4"/>
      <c r="J11" s="4"/>
    </row>
    <row r="12" spans="1:10" ht="45" customHeight="1" x14ac:dyDescent="0.25">
      <c r="A12" s="4" t="s">
        <v>1668</v>
      </c>
      <c r="B12" s="4" t="s">
        <v>1630</v>
      </c>
      <c r="C12" s="4" t="s">
        <v>1669</v>
      </c>
      <c r="D12" s="4"/>
      <c r="E12" s="4" t="s">
        <v>1670</v>
      </c>
      <c r="F12" s="4" t="s">
        <v>1623</v>
      </c>
      <c r="G12" s="4" t="s">
        <v>31</v>
      </c>
      <c r="H12" s="4" t="s">
        <v>40</v>
      </c>
      <c r="I12" s="4"/>
      <c r="J12" s="4"/>
    </row>
  </sheetData>
  <autoFilter ref="A1:J12" xr:uid="{00000000-0009-0000-0000-000010000000}"/>
  <dataValidations count="3">
    <dataValidation type="list" allowBlank="1" errorTitle="Resultado inválido" error="Seleccione: Pasa, Falla, Bloqueado o Pendiente" sqref="I2:I12" xr:uid="{00000000-0002-0000-1000-000000000000}">
      <formula1>"Pasa,Falla,Bloqueado,Pendiente"</formula1>
    </dataValidation>
    <dataValidation type="list" allowBlank="1" errorTitle="Prioridad inválida" error="Seleccione: Crítica, Alta, Media o Baja" sqref="G2:G12" xr:uid="{00000000-0002-0000-1000-000001000000}">
      <formula1>"Crítica,Alta,Media,Baja"</formula1>
    </dataValidation>
    <dataValidation type="list" allowBlank="1" errorTitle="Tipo inválido" error="Seleccione: Real o Simulado" sqref="H2:H12" xr:uid="{00000000-0002-0000-1000-000002000000}">
      <formula1>"Real,Simulado"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45" customHeight="1" x14ac:dyDescent="0.25">
      <c r="A2" s="4" t="s">
        <v>1671</v>
      </c>
      <c r="B2" s="4" t="s">
        <v>1672</v>
      </c>
      <c r="C2" s="4" t="s">
        <v>1673</v>
      </c>
      <c r="D2" s="4" t="s">
        <v>1674</v>
      </c>
      <c r="E2" s="4" t="s">
        <v>1675</v>
      </c>
      <c r="F2" s="4" t="s">
        <v>1676</v>
      </c>
      <c r="G2" s="4" t="s">
        <v>33</v>
      </c>
      <c r="H2" s="4" t="s">
        <v>40</v>
      </c>
      <c r="I2" s="4"/>
      <c r="J2" s="4"/>
    </row>
    <row r="3" spans="1:10" ht="60" customHeight="1" x14ac:dyDescent="0.25">
      <c r="A3" s="4" t="s">
        <v>1677</v>
      </c>
      <c r="B3" s="4" t="s">
        <v>1672</v>
      </c>
      <c r="C3" s="4" t="s">
        <v>1678</v>
      </c>
      <c r="D3" s="4" t="s">
        <v>1679</v>
      </c>
      <c r="E3" s="4" t="s">
        <v>1680</v>
      </c>
      <c r="F3" s="4" t="s">
        <v>1681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1682</v>
      </c>
      <c r="B4" s="4" t="s">
        <v>1672</v>
      </c>
      <c r="C4" s="4" t="s">
        <v>1683</v>
      </c>
      <c r="D4" s="4" t="s">
        <v>1684</v>
      </c>
      <c r="E4" s="4" t="s">
        <v>1685</v>
      </c>
      <c r="F4" s="4" t="s">
        <v>1686</v>
      </c>
      <c r="G4" s="4" t="s">
        <v>31</v>
      </c>
      <c r="H4" s="4" t="s">
        <v>40</v>
      </c>
      <c r="I4" s="4"/>
      <c r="J4" s="4"/>
    </row>
    <row r="5" spans="1:10" ht="45" customHeight="1" x14ac:dyDescent="0.25">
      <c r="A5" s="4" t="s">
        <v>1687</v>
      </c>
      <c r="B5" s="4" t="s">
        <v>1672</v>
      </c>
      <c r="C5" s="4" t="s">
        <v>1688</v>
      </c>
      <c r="D5" s="4" t="s">
        <v>1321</v>
      </c>
      <c r="E5" s="4" t="s">
        <v>1689</v>
      </c>
      <c r="F5" s="4" t="s">
        <v>1690</v>
      </c>
      <c r="G5" s="4" t="s">
        <v>33</v>
      </c>
      <c r="H5" s="4" t="s">
        <v>40</v>
      </c>
      <c r="I5" s="4"/>
      <c r="J5" s="4"/>
    </row>
    <row r="6" spans="1:10" ht="30" customHeight="1" x14ac:dyDescent="0.25">
      <c r="A6" s="4" t="s">
        <v>1691</v>
      </c>
      <c r="B6" s="4" t="s">
        <v>1672</v>
      </c>
      <c r="C6" s="4" t="s">
        <v>1692</v>
      </c>
      <c r="D6" s="4" t="s">
        <v>1693</v>
      </c>
      <c r="E6" s="4" t="s">
        <v>1694</v>
      </c>
      <c r="F6" s="4" t="s">
        <v>1695</v>
      </c>
      <c r="G6" s="4" t="s">
        <v>33</v>
      </c>
      <c r="H6" s="4" t="s">
        <v>40</v>
      </c>
      <c r="I6" s="4"/>
      <c r="J6" s="4"/>
    </row>
    <row r="7" spans="1:10" ht="30" customHeight="1" x14ac:dyDescent="0.25">
      <c r="A7" s="4" t="s">
        <v>1696</v>
      </c>
      <c r="B7" s="4" t="s">
        <v>1672</v>
      </c>
      <c r="C7" s="4" t="s">
        <v>1697</v>
      </c>
      <c r="D7" s="4" t="s">
        <v>1698</v>
      </c>
      <c r="E7" s="4" t="s">
        <v>1699</v>
      </c>
      <c r="F7" s="4" t="s">
        <v>1700</v>
      </c>
      <c r="G7" s="4" t="s">
        <v>35</v>
      </c>
      <c r="H7" s="4" t="s">
        <v>40</v>
      </c>
      <c r="I7" s="4"/>
      <c r="J7" s="4"/>
    </row>
    <row r="8" spans="1:10" ht="30" customHeight="1" x14ac:dyDescent="0.25">
      <c r="A8" s="4" t="s">
        <v>1701</v>
      </c>
      <c r="B8" s="4" t="s">
        <v>1672</v>
      </c>
      <c r="C8" s="4" t="s">
        <v>1702</v>
      </c>
      <c r="D8" s="4" t="s">
        <v>1703</v>
      </c>
      <c r="E8" s="4" t="s">
        <v>1704</v>
      </c>
      <c r="F8" s="4" t="s">
        <v>1705</v>
      </c>
      <c r="G8" s="4" t="s">
        <v>35</v>
      </c>
      <c r="H8" s="4" t="s">
        <v>40</v>
      </c>
      <c r="I8" s="4"/>
      <c r="J8" s="4"/>
    </row>
    <row r="9" spans="1:10" ht="30" customHeight="1" x14ac:dyDescent="0.25">
      <c r="A9" s="4" t="s">
        <v>1706</v>
      </c>
      <c r="B9" s="4" t="s">
        <v>1672</v>
      </c>
      <c r="C9" s="4" t="s">
        <v>1707</v>
      </c>
      <c r="D9" s="4" t="s">
        <v>1708</v>
      </c>
      <c r="E9" s="4" t="s">
        <v>1709</v>
      </c>
      <c r="F9" s="4" t="s">
        <v>1710</v>
      </c>
      <c r="G9" s="4" t="s">
        <v>33</v>
      </c>
      <c r="H9" s="4" t="s">
        <v>40</v>
      </c>
      <c r="I9" s="4"/>
      <c r="J9" s="4"/>
    </row>
    <row r="10" spans="1:10" ht="30" customHeight="1" x14ac:dyDescent="0.25">
      <c r="A10" s="4" t="s">
        <v>1711</v>
      </c>
      <c r="B10" s="4" t="s">
        <v>1672</v>
      </c>
      <c r="C10" s="4" t="s">
        <v>1712</v>
      </c>
      <c r="D10" s="4" t="s">
        <v>1713</v>
      </c>
      <c r="E10" s="4" t="s">
        <v>1714</v>
      </c>
      <c r="F10" s="4" t="s">
        <v>1715</v>
      </c>
      <c r="G10" s="4" t="s">
        <v>33</v>
      </c>
      <c r="H10" s="4" t="s">
        <v>40</v>
      </c>
      <c r="I10" s="4"/>
      <c r="J10" s="4"/>
    </row>
    <row r="11" spans="1:10" ht="30" customHeight="1" x14ac:dyDescent="0.25">
      <c r="A11" s="4" t="s">
        <v>1716</v>
      </c>
      <c r="B11" s="4" t="s">
        <v>1672</v>
      </c>
      <c r="C11" s="4" t="s">
        <v>1717</v>
      </c>
      <c r="D11" s="4" t="s">
        <v>1718</v>
      </c>
      <c r="E11" s="4" t="s">
        <v>1719</v>
      </c>
      <c r="F11" s="4" t="s">
        <v>1720</v>
      </c>
      <c r="G11" s="4" t="s">
        <v>35</v>
      </c>
      <c r="H11" s="4" t="s">
        <v>42</v>
      </c>
      <c r="I11" s="4"/>
      <c r="J11" s="4"/>
    </row>
    <row r="12" spans="1:10" ht="30" customHeight="1" x14ac:dyDescent="0.25">
      <c r="A12" s="4" t="s">
        <v>1721</v>
      </c>
      <c r="B12" s="4" t="s">
        <v>1672</v>
      </c>
      <c r="C12" s="4" t="s">
        <v>1722</v>
      </c>
      <c r="D12" s="4" t="s">
        <v>1723</v>
      </c>
      <c r="E12" s="4" t="s">
        <v>1724</v>
      </c>
      <c r="F12" s="4" t="s">
        <v>1725</v>
      </c>
      <c r="G12" s="4" t="s">
        <v>35</v>
      </c>
      <c r="H12" s="4" t="s">
        <v>42</v>
      </c>
      <c r="I12" s="4"/>
      <c r="J12" s="4"/>
    </row>
    <row r="13" spans="1:10" ht="30" customHeight="1" x14ac:dyDescent="0.25">
      <c r="A13" s="4" t="s">
        <v>1726</v>
      </c>
      <c r="B13" s="4" t="s">
        <v>1672</v>
      </c>
      <c r="C13" s="4" t="s">
        <v>1727</v>
      </c>
      <c r="D13" s="4" t="s">
        <v>1728</v>
      </c>
      <c r="E13" s="4" t="s">
        <v>1729</v>
      </c>
      <c r="F13" s="4" t="s">
        <v>1730</v>
      </c>
      <c r="G13" s="4" t="s">
        <v>37</v>
      </c>
      <c r="H13" s="4" t="s">
        <v>42</v>
      </c>
      <c r="I13" s="4"/>
      <c r="J13" s="4"/>
    </row>
    <row r="14" spans="1:10" ht="30" customHeight="1" x14ac:dyDescent="0.25">
      <c r="A14" s="4" t="s">
        <v>1731</v>
      </c>
      <c r="B14" s="4" t="s">
        <v>1672</v>
      </c>
      <c r="C14" s="4" t="s">
        <v>1732</v>
      </c>
      <c r="D14" s="4" t="s">
        <v>1224</v>
      </c>
      <c r="E14" s="4" t="s">
        <v>1733</v>
      </c>
      <c r="F14" s="4" t="s">
        <v>1734</v>
      </c>
      <c r="G14" s="4" t="s">
        <v>33</v>
      </c>
      <c r="H14" s="4" t="s">
        <v>40</v>
      </c>
      <c r="I14" s="4"/>
      <c r="J14" s="4"/>
    </row>
    <row r="15" spans="1:10" ht="30" customHeight="1" x14ac:dyDescent="0.25">
      <c r="A15" s="4" t="s">
        <v>1735</v>
      </c>
      <c r="B15" s="4" t="s">
        <v>1672</v>
      </c>
      <c r="C15" s="4" t="s">
        <v>1736</v>
      </c>
      <c r="D15" s="4" t="s">
        <v>1737</v>
      </c>
      <c r="E15" s="4" t="s">
        <v>1738</v>
      </c>
      <c r="F15" s="4" t="s">
        <v>1739</v>
      </c>
      <c r="G15" s="4" t="s">
        <v>35</v>
      </c>
      <c r="H15" s="4" t="s">
        <v>40</v>
      </c>
      <c r="I15" s="4"/>
      <c r="J15" s="4"/>
    </row>
    <row r="16" spans="1:10" ht="60" customHeight="1" x14ac:dyDescent="0.25">
      <c r="A16" s="4" t="s">
        <v>1740</v>
      </c>
      <c r="B16" s="4" t="s">
        <v>1672</v>
      </c>
      <c r="C16" s="4" t="s">
        <v>1741</v>
      </c>
      <c r="D16" s="4" t="s">
        <v>1742</v>
      </c>
      <c r="E16" s="4" t="s">
        <v>1743</v>
      </c>
      <c r="F16" s="4" t="s">
        <v>1744</v>
      </c>
      <c r="G16" s="4" t="s">
        <v>33</v>
      </c>
      <c r="H16" s="4" t="s">
        <v>42</v>
      </c>
      <c r="I16" s="4"/>
      <c r="J16" s="4"/>
    </row>
  </sheetData>
  <autoFilter ref="A1:J16" xr:uid="{00000000-0009-0000-0000-000011000000}"/>
  <dataValidations count="3">
    <dataValidation type="list" allowBlank="1" errorTitle="Resultado inválido" error="Seleccione: Pasa, Falla, Bloqueado o Pendiente" sqref="I2:I16" xr:uid="{00000000-0002-0000-1100-000000000000}">
      <formula1>"Pasa,Falla,Bloqueado,Pendiente"</formula1>
    </dataValidation>
    <dataValidation type="list" allowBlank="1" errorTitle="Prioridad inválida" error="Seleccione: Crítica, Alta, Media o Baja" sqref="G2:G16" xr:uid="{00000000-0002-0000-1100-000001000000}">
      <formula1>"Crítica,Alta,Media,Baja"</formula1>
    </dataValidation>
    <dataValidation type="list" allowBlank="1" errorTitle="Tipo inválido" error="Seleccione: Real o Simulado" sqref="H2:H16" xr:uid="{00000000-0002-0000-1100-000002000000}">
      <formula1>"Real,Simulado"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75" customHeight="1" x14ac:dyDescent="0.25">
      <c r="A2" s="4" t="s">
        <v>1745</v>
      </c>
      <c r="B2" s="4" t="s">
        <v>1746</v>
      </c>
      <c r="C2" s="4" t="s">
        <v>1747</v>
      </c>
      <c r="D2" s="4" t="s">
        <v>1748</v>
      </c>
      <c r="E2" s="4" t="s">
        <v>1749</v>
      </c>
      <c r="F2" s="4" t="s">
        <v>1750</v>
      </c>
      <c r="G2" s="4" t="s">
        <v>31</v>
      </c>
      <c r="H2" s="4" t="s">
        <v>40</v>
      </c>
      <c r="I2" s="4"/>
      <c r="J2" s="4"/>
    </row>
    <row r="3" spans="1:10" ht="60" customHeight="1" x14ac:dyDescent="0.25">
      <c r="A3" s="4" t="s">
        <v>1751</v>
      </c>
      <c r="B3" s="4" t="s">
        <v>1746</v>
      </c>
      <c r="C3" s="4" t="s">
        <v>1752</v>
      </c>
      <c r="D3" s="4" t="s">
        <v>1748</v>
      </c>
      <c r="E3" s="4" t="s">
        <v>1753</v>
      </c>
      <c r="F3" s="4" t="s">
        <v>1754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1755</v>
      </c>
      <c r="B4" s="4" t="s">
        <v>1746</v>
      </c>
      <c r="C4" s="4" t="s">
        <v>1756</v>
      </c>
      <c r="D4" s="4" t="s">
        <v>1321</v>
      </c>
      <c r="E4" s="4" t="s">
        <v>1757</v>
      </c>
      <c r="F4" s="4" t="s">
        <v>1758</v>
      </c>
      <c r="G4" s="4" t="s">
        <v>33</v>
      </c>
      <c r="H4" s="4" t="s">
        <v>42</v>
      </c>
      <c r="I4" s="4"/>
      <c r="J4" s="4"/>
    </row>
    <row r="5" spans="1:10" ht="30" customHeight="1" x14ac:dyDescent="0.25">
      <c r="A5" s="4" t="s">
        <v>1759</v>
      </c>
      <c r="B5" s="4" t="s">
        <v>1746</v>
      </c>
      <c r="C5" s="4" t="s">
        <v>1760</v>
      </c>
      <c r="D5" s="4" t="s">
        <v>1761</v>
      </c>
      <c r="E5" s="4" t="s">
        <v>1762</v>
      </c>
      <c r="F5" s="4" t="s">
        <v>1763</v>
      </c>
      <c r="G5" s="4" t="s">
        <v>33</v>
      </c>
      <c r="H5" s="4" t="s">
        <v>42</v>
      </c>
      <c r="I5" s="4"/>
      <c r="J5" s="4"/>
    </row>
    <row r="6" spans="1:10" ht="30" customHeight="1" x14ac:dyDescent="0.25">
      <c r="A6" s="4" t="s">
        <v>1764</v>
      </c>
      <c r="B6" s="4" t="s">
        <v>1746</v>
      </c>
      <c r="C6" s="4" t="s">
        <v>1765</v>
      </c>
      <c r="D6" s="4" t="s">
        <v>1748</v>
      </c>
      <c r="E6" s="4" t="s">
        <v>1766</v>
      </c>
      <c r="F6" s="4" t="s">
        <v>1767</v>
      </c>
      <c r="G6" s="4" t="s">
        <v>35</v>
      </c>
      <c r="H6" s="4" t="s">
        <v>42</v>
      </c>
      <c r="I6" s="4"/>
      <c r="J6" s="4"/>
    </row>
    <row r="7" spans="1:10" ht="30" customHeight="1" x14ac:dyDescent="0.25">
      <c r="A7" s="4" t="s">
        <v>1768</v>
      </c>
      <c r="B7" s="4" t="s">
        <v>1746</v>
      </c>
      <c r="C7" s="4" t="s">
        <v>1769</v>
      </c>
      <c r="D7" s="4" t="s">
        <v>1770</v>
      </c>
      <c r="E7" s="4" t="s">
        <v>1771</v>
      </c>
      <c r="F7" s="4" t="s">
        <v>1772</v>
      </c>
      <c r="G7" s="4" t="s">
        <v>33</v>
      </c>
      <c r="H7" s="4" t="s">
        <v>42</v>
      </c>
      <c r="I7" s="4"/>
      <c r="J7" s="4"/>
    </row>
    <row r="8" spans="1:10" ht="30" customHeight="1" x14ac:dyDescent="0.25">
      <c r="A8" s="4" t="s">
        <v>1773</v>
      </c>
      <c r="B8" s="4" t="s">
        <v>1746</v>
      </c>
      <c r="C8" s="4" t="s">
        <v>1774</v>
      </c>
      <c r="D8" s="4" t="s">
        <v>1775</v>
      </c>
      <c r="E8" s="4" t="s">
        <v>1776</v>
      </c>
      <c r="F8" s="4" t="s">
        <v>1777</v>
      </c>
      <c r="G8" s="4" t="s">
        <v>33</v>
      </c>
      <c r="H8" s="4" t="s">
        <v>40</v>
      </c>
      <c r="I8" s="4"/>
      <c r="J8" s="4"/>
    </row>
    <row r="9" spans="1:10" ht="45" customHeight="1" x14ac:dyDescent="0.25">
      <c r="A9" s="4" t="s">
        <v>1778</v>
      </c>
      <c r="B9" s="4" t="s">
        <v>1746</v>
      </c>
      <c r="C9" s="4" t="s">
        <v>1779</v>
      </c>
      <c r="D9" s="4" t="s">
        <v>1780</v>
      </c>
      <c r="E9" s="4" t="s">
        <v>1781</v>
      </c>
      <c r="F9" s="4" t="s">
        <v>1782</v>
      </c>
      <c r="G9" s="4" t="s">
        <v>35</v>
      </c>
      <c r="H9" s="4" t="s">
        <v>40</v>
      </c>
      <c r="I9" s="4"/>
      <c r="J9" s="4"/>
    </row>
    <row r="10" spans="1:10" ht="30" customHeight="1" x14ac:dyDescent="0.25">
      <c r="A10" s="4" t="s">
        <v>1783</v>
      </c>
      <c r="B10" s="4" t="s">
        <v>1746</v>
      </c>
      <c r="C10" s="4" t="s">
        <v>1784</v>
      </c>
      <c r="D10" s="4" t="s">
        <v>1785</v>
      </c>
      <c r="E10" s="4" t="s">
        <v>1786</v>
      </c>
      <c r="F10" s="4" t="s">
        <v>1787</v>
      </c>
      <c r="G10" s="4" t="s">
        <v>35</v>
      </c>
      <c r="H10" s="4" t="s">
        <v>40</v>
      </c>
      <c r="I10" s="4"/>
      <c r="J10" s="4"/>
    </row>
    <row r="11" spans="1:10" ht="30" customHeight="1" x14ac:dyDescent="0.25">
      <c r="A11" s="4" t="s">
        <v>1788</v>
      </c>
      <c r="B11" s="4" t="s">
        <v>1746</v>
      </c>
      <c r="C11" s="4" t="s">
        <v>1789</v>
      </c>
      <c r="D11" s="4" t="s">
        <v>1790</v>
      </c>
      <c r="E11" s="4" t="s">
        <v>1791</v>
      </c>
      <c r="F11" s="4" t="s">
        <v>1792</v>
      </c>
      <c r="G11" s="4" t="s">
        <v>33</v>
      </c>
      <c r="H11" s="4" t="s">
        <v>42</v>
      </c>
      <c r="I11" s="4"/>
      <c r="J11" s="4"/>
    </row>
    <row r="12" spans="1:10" ht="30" customHeight="1" x14ac:dyDescent="0.25">
      <c r="A12" s="4" t="s">
        <v>1793</v>
      </c>
      <c r="B12" s="4" t="s">
        <v>1746</v>
      </c>
      <c r="C12" s="4" t="s">
        <v>1794</v>
      </c>
      <c r="D12" s="4" t="s">
        <v>1795</v>
      </c>
      <c r="E12" s="4" t="s">
        <v>1796</v>
      </c>
      <c r="F12" s="4" t="s">
        <v>1797</v>
      </c>
      <c r="G12" s="4" t="s">
        <v>35</v>
      </c>
      <c r="H12" s="4" t="s">
        <v>42</v>
      </c>
      <c r="I12" s="4"/>
      <c r="J12" s="4"/>
    </row>
    <row r="13" spans="1:10" ht="30" customHeight="1" x14ac:dyDescent="0.25">
      <c r="A13" s="4" t="s">
        <v>1798</v>
      </c>
      <c r="B13" s="4" t="s">
        <v>1746</v>
      </c>
      <c r="C13" s="4" t="s">
        <v>1799</v>
      </c>
      <c r="D13" s="4" t="s">
        <v>1748</v>
      </c>
      <c r="E13" s="4" t="s">
        <v>1800</v>
      </c>
      <c r="F13" s="4" t="s">
        <v>1801</v>
      </c>
      <c r="G13" s="4" t="s">
        <v>37</v>
      </c>
      <c r="H13" s="4" t="s">
        <v>42</v>
      </c>
      <c r="I13" s="4"/>
      <c r="J13" s="4"/>
    </row>
    <row r="14" spans="1:10" ht="30" customHeight="1" x14ac:dyDescent="0.25">
      <c r="A14" s="4" t="s">
        <v>1802</v>
      </c>
      <c r="B14" s="4" t="s">
        <v>1746</v>
      </c>
      <c r="C14" s="4" t="s">
        <v>1803</v>
      </c>
      <c r="D14" s="4" t="s">
        <v>1748</v>
      </c>
      <c r="E14" s="4" t="s">
        <v>1804</v>
      </c>
      <c r="F14" s="4" t="s">
        <v>1805</v>
      </c>
      <c r="G14" s="4" t="s">
        <v>37</v>
      </c>
      <c r="H14" s="4" t="s">
        <v>42</v>
      </c>
      <c r="I14" s="4"/>
      <c r="J14" s="4"/>
    </row>
  </sheetData>
  <autoFilter ref="A1:J14" xr:uid="{00000000-0009-0000-0000-000012000000}"/>
  <dataValidations count="3">
    <dataValidation type="list" allowBlank="1" errorTitle="Resultado inválido" error="Seleccione: Pasa, Falla, Bloqueado o Pendiente" sqref="I2:I14" xr:uid="{00000000-0002-0000-1200-000000000000}">
      <formula1>"Pasa,Falla,Bloqueado,Pendiente"</formula1>
    </dataValidation>
    <dataValidation type="list" allowBlank="1" errorTitle="Prioridad inválida" error="Seleccione: Crítica, Alta, Media o Baja" sqref="G2:G14" xr:uid="{00000000-0002-0000-1200-000001000000}">
      <formula1>"Crítica,Alta,Media,Baja"</formula1>
    </dataValidation>
    <dataValidation type="list" allowBlank="1" errorTitle="Tipo inválido" error="Seleccione: Real o Simulado" sqref="H2:H14" xr:uid="{00000000-0002-0000-1200-000002000000}">
      <formula1>"Real,Simulado"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75" customHeight="1" x14ac:dyDescent="0.25">
      <c r="A2" s="4" t="s">
        <v>1806</v>
      </c>
      <c r="B2" s="4" t="s">
        <v>1807</v>
      </c>
      <c r="C2" s="4" t="s">
        <v>1808</v>
      </c>
      <c r="D2" s="4" t="s">
        <v>1809</v>
      </c>
      <c r="E2" s="4" t="s">
        <v>1810</v>
      </c>
      <c r="F2" s="4" t="s">
        <v>1811</v>
      </c>
      <c r="G2" s="4" t="s">
        <v>31</v>
      </c>
      <c r="H2" s="4" t="s">
        <v>40</v>
      </c>
      <c r="I2" s="4"/>
      <c r="J2" s="4"/>
    </row>
    <row r="3" spans="1:10" ht="30" customHeight="1" x14ac:dyDescent="0.25">
      <c r="A3" s="4" t="s">
        <v>1812</v>
      </c>
      <c r="B3" s="4" t="s">
        <v>1807</v>
      </c>
      <c r="C3" s="4" t="s">
        <v>1813</v>
      </c>
      <c r="D3" s="4" t="s">
        <v>1814</v>
      </c>
      <c r="E3" s="4" t="s">
        <v>1815</v>
      </c>
      <c r="F3" s="4" t="s">
        <v>1816</v>
      </c>
      <c r="G3" s="4" t="s">
        <v>31</v>
      </c>
      <c r="H3" s="4" t="s">
        <v>42</v>
      </c>
      <c r="I3" s="4"/>
      <c r="J3" s="4"/>
    </row>
    <row r="4" spans="1:10" ht="45" customHeight="1" x14ac:dyDescent="0.25">
      <c r="A4" s="4" t="s">
        <v>1817</v>
      </c>
      <c r="B4" s="4" t="s">
        <v>1807</v>
      </c>
      <c r="C4" s="4" t="s">
        <v>1818</v>
      </c>
      <c r="D4" s="4" t="s">
        <v>1819</v>
      </c>
      <c r="E4" s="4" t="s">
        <v>1820</v>
      </c>
      <c r="F4" s="4" t="s">
        <v>1821</v>
      </c>
      <c r="G4" s="4" t="s">
        <v>31</v>
      </c>
      <c r="H4" s="4" t="s">
        <v>40</v>
      </c>
      <c r="I4" s="4"/>
      <c r="J4" s="4"/>
    </row>
    <row r="5" spans="1:10" ht="30" customHeight="1" x14ac:dyDescent="0.25">
      <c r="A5" s="4" t="s">
        <v>1822</v>
      </c>
      <c r="B5" s="4" t="s">
        <v>1807</v>
      </c>
      <c r="C5" s="4" t="s">
        <v>1401</v>
      </c>
      <c r="D5" s="4" t="s">
        <v>1819</v>
      </c>
      <c r="E5" s="4" t="s">
        <v>1823</v>
      </c>
      <c r="F5" s="4" t="s">
        <v>1824</v>
      </c>
      <c r="G5" s="4" t="s">
        <v>33</v>
      </c>
      <c r="H5" s="4" t="s">
        <v>42</v>
      </c>
      <c r="I5" s="4"/>
      <c r="J5" s="4"/>
    </row>
    <row r="6" spans="1:10" ht="75" customHeight="1" x14ac:dyDescent="0.25">
      <c r="A6" s="4" t="s">
        <v>1825</v>
      </c>
      <c r="B6" s="4" t="s">
        <v>1807</v>
      </c>
      <c r="C6" s="4" t="s">
        <v>1826</v>
      </c>
      <c r="D6" s="4" t="s">
        <v>1827</v>
      </c>
      <c r="E6" s="4" t="s">
        <v>1828</v>
      </c>
      <c r="F6" s="4" t="s">
        <v>1829</v>
      </c>
      <c r="G6" s="4" t="s">
        <v>31</v>
      </c>
      <c r="H6" s="4" t="s">
        <v>40</v>
      </c>
      <c r="I6" s="4"/>
      <c r="J6" s="4"/>
    </row>
    <row r="7" spans="1:10" ht="45" customHeight="1" x14ac:dyDescent="0.25">
      <c r="A7" s="4" t="s">
        <v>1830</v>
      </c>
      <c r="B7" s="4" t="s">
        <v>1807</v>
      </c>
      <c r="C7" s="4" t="s">
        <v>1831</v>
      </c>
      <c r="D7" s="4" t="s">
        <v>1832</v>
      </c>
      <c r="E7" s="4" t="s">
        <v>1833</v>
      </c>
      <c r="F7" s="4" t="s">
        <v>1834</v>
      </c>
      <c r="G7" s="4" t="s">
        <v>35</v>
      </c>
      <c r="H7" s="4" t="s">
        <v>42</v>
      </c>
      <c r="I7" s="4"/>
      <c r="J7" s="4"/>
    </row>
    <row r="8" spans="1:10" ht="30" customHeight="1" x14ac:dyDescent="0.25">
      <c r="A8" s="4" t="s">
        <v>1835</v>
      </c>
      <c r="B8" s="4" t="s">
        <v>1807</v>
      </c>
      <c r="C8" s="4" t="s">
        <v>1836</v>
      </c>
      <c r="D8" s="4" t="s">
        <v>1837</v>
      </c>
      <c r="E8" s="4" t="s">
        <v>1838</v>
      </c>
      <c r="F8" s="4" t="s">
        <v>1839</v>
      </c>
      <c r="G8" s="4" t="s">
        <v>33</v>
      </c>
      <c r="H8" s="4" t="s">
        <v>40</v>
      </c>
      <c r="I8" s="4"/>
      <c r="J8" s="4"/>
    </row>
    <row r="9" spans="1:10" x14ac:dyDescent="0.25">
      <c r="A9" s="4" t="s">
        <v>1840</v>
      </c>
      <c r="B9" s="4" t="s">
        <v>1807</v>
      </c>
      <c r="C9" s="4" t="s">
        <v>1841</v>
      </c>
      <c r="D9" s="4" t="s">
        <v>1674</v>
      </c>
      <c r="E9" s="4" t="s">
        <v>1842</v>
      </c>
      <c r="F9" s="4" t="s">
        <v>1843</v>
      </c>
      <c r="G9" s="4" t="s">
        <v>33</v>
      </c>
      <c r="H9" s="4" t="s">
        <v>42</v>
      </c>
      <c r="I9" s="4"/>
      <c r="J9" s="4"/>
    </row>
    <row r="10" spans="1:10" x14ac:dyDescent="0.25">
      <c r="A10" s="4" t="s">
        <v>1844</v>
      </c>
      <c r="B10" s="4" t="s">
        <v>1807</v>
      </c>
      <c r="C10" s="4" t="s">
        <v>1845</v>
      </c>
      <c r="D10" s="4" t="s">
        <v>1846</v>
      </c>
      <c r="E10" s="4" t="s">
        <v>1847</v>
      </c>
      <c r="F10" s="4" t="s">
        <v>1848</v>
      </c>
      <c r="G10" s="4" t="s">
        <v>33</v>
      </c>
      <c r="H10" s="4" t="s">
        <v>42</v>
      </c>
      <c r="I10" s="4"/>
      <c r="J10" s="4"/>
    </row>
    <row r="11" spans="1:10" ht="45" customHeight="1" x14ac:dyDescent="0.25">
      <c r="A11" s="4" t="s">
        <v>1849</v>
      </c>
      <c r="B11" s="4" t="s">
        <v>1807</v>
      </c>
      <c r="C11" s="4" t="s">
        <v>1850</v>
      </c>
      <c r="D11" s="4" t="s">
        <v>1851</v>
      </c>
      <c r="E11" s="4" t="s">
        <v>1852</v>
      </c>
      <c r="F11" s="4" t="s">
        <v>1853</v>
      </c>
      <c r="G11" s="4" t="s">
        <v>35</v>
      </c>
      <c r="H11" s="4" t="s">
        <v>40</v>
      </c>
      <c r="I11" s="4"/>
      <c r="J11" s="4"/>
    </row>
    <row r="12" spans="1:10" ht="60" customHeight="1" x14ac:dyDescent="0.25">
      <c r="A12" s="4" t="s">
        <v>1854</v>
      </c>
      <c r="B12" s="4" t="s">
        <v>1807</v>
      </c>
      <c r="C12" s="4" t="s">
        <v>1855</v>
      </c>
      <c r="D12" s="4" t="s">
        <v>1856</v>
      </c>
      <c r="E12" s="4" t="s">
        <v>1857</v>
      </c>
      <c r="F12" s="4" t="s">
        <v>1858</v>
      </c>
      <c r="G12" s="4" t="s">
        <v>33</v>
      </c>
      <c r="H12" s="4" t="s">
        <v>40</v>
      </c>
      <c r="I12" s="4"/>
      <c r="J12" s="4"/>
    </row>
    <row r="13" spans="1:10" ht="30" customHeight="1" x14ac:dyDescent="0.25">
      <c r="A13" s="4" t="s">
        <v>1859</v>
      </c>
      <c r="B13" s="4" t="s">
        <v>1807</v>
      </c>
      <c r="C13" s="4" t="s">
        <v>1860</v>
      </c>
      <c r="D13" s="4" t="s">
        <v>1819</v>
      </c>
      <c r="E13" s="4" t="s">
        <v>1861</v>
      </c>
      <c r="F13" s="4" t="s">
        <v>1862</v>
      </c>
      <c r="G13" s="4" t="s">
        <v>35</v>
      </c>
      <c r="H13" s="4" t="s">
        <v>40</v>
      </c>
      <c r="I13" s="4"/>
      <c r="J13" s="4"/>
    </row>
    <row r="14" spans="1:10" x14ac:dyDescent="0.25">
      <c r="A14" s="4" t="s">
        <v>1863</v>
      </c>
      <c r="B14" s="4" t="s">
        <v>1807</v>
      </c>
      <c r="C14" s="4" t="s">
        <v>1864</v>
      </c>
      <c r="D14" s="4" t="s">
        <v>1819</v>
      </c>
      <c r="E14" s="4" t="s">
        <v>1865</v>
      </c>
      <c r="F14" s="4" t="s">
        <v>1866</v>
      </c>
      <c r="G14" s="4" t="s">
        <v>35</v>
      </c>
      <c r="H14" s="4" t="s">
        <v>40</v>
      </c>
      <c r="I14" s="4"/>
      <c r="J14" s="4"/>
    </row>
    <row r="15" spans="1:10" x14ac:dyDescent="0.25">
      <c r="A15" s="4" t="s">
        <v>1867</v>
      </c>
      <c r="B15" s="4" t="s">
        <v>1807</v>
      </c>
      <c r="C15" s="4" t="s">
        <v>1868</v>
      </c>
      <c r="D15" s="4" t="s">
        <v>1869</v>
      </c>
      <c r="E15" s="4" t="s">
        <v>1870</v>
      </c>
      <c r="F15" s="4" t="s">
        <v>1871</v>
      </c>
      <c r="G15" s="4" t="s">
        <v>35</v>
      </c>
      <c r="H15" s="4" t="s">
        <v>40</v>
      </c>
      <c r="I15" s="4"/>
      <c r="J15" s="4"/>
    </row>
    <row r="16" spans="1:10" ht="30" customHeight="1" x14ac:dyDescent="0.25">
      <c r="A16" s="4" t="s">
        <v>1872</v>
      </c>
      <c r="B16" s="4" t="s">
        <v>1807</v>
      </c>
      <c r="C16" s="4" t="s">
        <v>1873</v>
      </c>
      <c r="D16" s="4" t="s">
        <v>1874</v>
      </c>
      <c r="E16" s="4" t="s">
        <v>1875</v>
      </c>
      <c r="F16" s="4" t="s">
        <v>1876</v>
      </c>
      <c r="G16" s="4" t="s">
        <v>35</v>
      </c>
      <c r="H16" s="4" t="s">
        <v>40</v>
      </c>
      <c r="I16" s="4"/>
      <c r="J16" s="4"/>
    </row>
    <row r="17" spans="1:10" ht="30" customHeight="1" x14ac:dyDescent="0.25">
      <c r="A17" s="4" t="s">
        <v>1877</v>
      </c>
      <c r="B17" s="4" t="s">
        <v>1807</v>
      </c>
      <c r="C17" s="4" t="s">
        <v>1878</v>
      </c>
      <c r="D17" s="4" t="s">
        <v>1879</v>
      </c>
      <c r="E17" s="4" t="s">
        <v>1880</v>
      </c>
      <c r="F17" s="4" t="s">
        <v>1881</v>
      </c>
      <c r="G17" s="4" t="s">
        <v>35</v>
      </c>
      <c r="H17" s="4" t="s">
        <v>42</v>
      </c>
      <c r="I17" s="4"/>
      <c r="J17" s="4"/>
    </row>
    <row r="18" spans="1:10" x14ac:dyDescent="0.25">
      <c r="A18" s="4" t="s">
        <v>1882</v>
      </c>
      <c r="B18" s="4" t="s">
        <v>1807</v>
      </c>
      <c r="C18" s="4" t="s">
        <v>1883</v>
      </c>
      <c r="D18" s="4" t="s">
        <v>1879</v>
      </c>
      <c r="E18" s="4" t="s">
        <v>1884</v>
      </c>
      <c r="F18" s="4" t="s">
        <v>1885</v>
      </c>
      <c r="G18" s="4" t="s">
        <v>37</v>
      </c>
      <c r="H18" s="4" t="s">
        <v>42</v>
      </c>
      <c r="I18" s="4"/>
      <c r="J18" s="4"/>
    </row>
    <row r="19" spans="1:10" ht="30" customHeight="1" x14ac:dyDescent="0.25">
      <c r="A19" s="4" t="s">
        <v>1886</v>
      </c>
      <c r="B19" s="4" t="s">
        <v>1807</v>
      </c>
      <c r="C19" s="4" t="s">
        <v>1887</v>
      </c>
      <c r="D19" s="4" t="s">
        <v>1888</v>
      </c>
      <c r="E19" s="4" t="s">
        <v>1889</v>
      </c>
      <c r="F19" s="4" t="s">
        <v>1890</v>
      </c>
      <c r="G19" s="4" t="s">
        <v>37</v>
      </c>
      <c r="H19" s="4" t="s">
        <v>42</v>
      </c>
      <c r="I19" s="4"/>
      <c r="J19" s="4"/>
    </row>
  </sheetData>
  <autoFilter ref="A1:J19" xr:uid="{00000000-0009-0000-0000-000013000000}"/>
  <dataValidations count="3">
    <dataValidation type="list" allowBlank="1" errorTitle="Resultado inválido" error="Seleccione: Pasa, Falla, Bloqueado o Pendiente" sqref="I2:I19" xr:uid="{00000000-0002-0000-1300-000000000000}">
      <formula1>"Pasa,Falla,Bloqueado,Pendiente"</formula1>
    </dataValidation>
    <dataValidation type="list" allowBlank="1" errorTitle="Prioridad inválida" error="Seleccione: Crítica, Alta, Media o Baja" sqref="G2:G19" xr:uid="{00000000-0002-0000-1300-000001000000}">
      <formula1>"Crítica,Alta,Media,Baja"</formula1>
    </dataValidation>
    <dataValidation type="list" allowBlank="1" errorTitle="Tipo inválido" error="Seleccione: Real o Simulado" sqref="H2:H19" xr:uid="{00000000-0002-0000-1300-000002000000}">
      <formula1>"Real,Simulado"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30" customHeight="1" x14ac:dyDescent="0.25">
      <c r="A2" s="4" t="s">
        <v>1891</v>
      </c>
      <c r="B2" s="4" t="s">
        <v>1892</v>
      </c>
      <c r="C2" s="4" t="s">
        <v>1893</v>
      </c>
      <c r="D2" s="4" t="s">
        <v>1894</v>
      </c>
      <c r="E2" s="4" t="s">
        <v>1895</v>
      </c>
      <c r="F2" s="4" t="s">
        <v>1896</v>
      </c>
      <c r="G2" s="4" t="s">
        <v>31</v>
      </c>
      <c r="H2" s="4" t="s">
        <v>40</v>
      </c>
      <c r="I2" s="4"/>
      <c r="J2" s="4"/>
    </row>
    <row r="3" spans="1:10" ht="45" customHeight="1" x14ac:dyDescent="0.25">
      <c r="A3" s="4" t="s">
        <v>1897</v>
      </c>
      <c r="B3" s="4" t="s">
        <v>1892</v>
      </c>
      <c r="C3" s="4" t="s">
        <v>1898</v>
      </c>
      <c r="D3" s="4" t="s">
        <v>1899</v>
      </c>
      <c r="E3" s="4" t="s">
        <v>1900</v>
      </c>
      <c r="F3" s="4" t="s">
        <v>1901</v>
      </c>
      <c r="G3" s="4" t="s">
        <v>33</v>
      </c>
      <c r="H3" s="4" t="s">
        <v>40</v>
      </c>
      <c r="I3" s="4"/>
      <c r="J3" s="4"/>
    </row>
    <row r="4" spans="1:10" ht="30" customHeight="1" x14ac:dyDescent="0.25">
      <c r="A4" s="4" t="s">
        <v>1902</v>
      </c>
      <c r="B4" s="4" t="s">
        <v>1892</v>
      </c>
      <c r="C4" s="4" t="s">
        <v>1903</v>
      </c>
      <c r="D4" s="4" t="s">
        <v>1904</v>
      </c>
      <c r="E4" s="4" t="s">
        <v>1905</v>
      </c>
      <c r="F4" s="4" t="s">
        <v>1906</v>
      </c>
      <c r="G4" s="4" t="s">
        <v>33</v>
      </c>
      <c r="H4" s="4" t="s">
        <v>40</v>
      </c>
      <c r="I4" s="4"/>
      <c r="J4" s="4"/>
    </row>
    <row r="5" spans="1:10" x14ac:dyDescent="0.25">
      <c r="A5" s="4" t="s">
        <v>1907</v>
      </c>
      <c r="B5" s="4" t="s">
        <v>1892</v>
      </c>
      <c r="C5" s="4" t="s">
        <v>1908</v>
      </c>
      <c r="D5" s="4" t="s">
        <v>1909</v>
      </c>
      <c r="E5" s="4" t="s">
        <v>1910</v>
      </c>
      <c r="F5" s="4" t="s">
        <v>1911</v>
      </c>
      <c r="G5" s="4" t="s">
        <v>35</v>
      </c>
      <c r="H5" s="4" t="s">
        <v>40</v>
      </c>
      <c r="I5" s="4"/>
      <c r="J5" s="4"/>
    </row>
    <row r="6" spans="1:10" x14ac:dyDescent="0.25">
      <c r="A6" s="4" t="s">
        <v>1912</v>
      </c>
      <c r="B6" s="4" t="s">
        <v>1892</v>
      </c>
      <c r="C6" s="4" t="s">
        <v>1913</v>
      </c>
      <c r="D6" s="4" t="s">
        <v>1909</v>
      </c>
      <c r="E6" s="4" t="s">
        <v>1910</v>
      </c>
      <c r="F6" s="4" t="s">
        <v>1914</v>
      </c>
      <c r="G6" s="4" t="s">
        <v>35</v>
      </c>
      <c r="H6" s="4" t="s">
        <v>40</v>
      </c>
      <c r="I6" s="4"/>
      <c r="J6" s="4"/>
    </row>
    <row r="7" spans="1:10" x14ac:dyDescent="0.25">
      <c r="A7" s="4" t="s">
        <v>1915</v>
      </c>
      <c r="B7" s="4" t="s">
        <v>1892</v>
      </c>
      <c r="C7" s="4" t="s">
        <v>1916</v>
      </c>
      <c r="D7" s="4" t="s">
        <v>1846</v>
      </c>
      <c r="E7" s="4" t="s">
        <v>1917</v>
      </c>
      <c r="F7" s="4" t="s">
        <v>1918</v>
      </c>
      <c r="G7" s="4" t="s">
        <v>35</v>
      </c>
      <c r="H7" s="4" t="s">
        <v>40</v>
      </c>
      <c r="I7" s="4"/>
      <c r="J7" s="4"/>
    </row>
    <row r="8" spans="1:10" ht="30" customHeight="1" x14ac:dyDescent="0.25">
      <c r="A8" s="4" t="s">
        <v>1919</v>
      </c>
      <c r="B8" s="4" t="s">
        <v>1892</v>
      </c>
      <c r="C8" s="4" t="s">
        <v>1412</v>
      </c>
      <c r="D8" s="4" t="s">
        <v>89</v>
      </c>
      <c r="E8" s="4" t="s">
        <v>1920</v>
      </c>
      <c r="F8" s="4" t="s">
        <v>1921</v>
      </c>
      <c r="G8" s="4" t="s">
        <v>33</v>
      </c>
      <c r="H8" s="4" t="s">
        <v>42</v>
      </c>
      <c r="I8" s="4"/>
      <c r="J8" s="4"/>
    </row>
    <row r="9" spans="1:10" ht="30" customHeight="1" x14ac:dyDescent="0.25">
      <c r="A9" s="4" t="s">
        <v>1922</v>
      </c>
      <c r="B9" s="4" t="s">
        <v>1892</v>
      </c>
      <c r="C9" s="4" t="s">
        <v>1923</v>
      </c>
      <c r="D9" s="4" t="s">
        <v>1924</v>
      </c>
      <c r="E9" s="4" t="s">
        <v>1925</v>
      </c>
      <c r="F9" s="4" t="s">
        <v>1926</v>
      </c>
      <c r="G9" s="4" t="s">
        <v>37</v>
      </c>
      <c r="H9" s="4" t="s">
        <v>42</v>
      </c>
      <c r="I9" s="4"/>
      <c r="J9" s="4"/>
    </row>
  </sheetData>
  <autoFilter ref="A1:J9" xr:uid="{00000000-0009-0000-0000-000014000000}"/>
  <dataValidations count="3">
    <dataValidation type="list" allowBlank="1" errorTitle="Resultado inválido" error="Seleccione: Pasa, Falla, Bloqueado o Pendiente" sqref="I2:I9" xr:uid="{00000000-0002-0000-1400-000000000000}">
      <formula1>"Pasa,Falla,Bloqueado,Pendiente"</formula1>
    </dataValidation>
    <dataValidation type="list" allowBlank="1" errorTitle="Prioridad inválida" error="Seleccione: Crítica, Alta, Media o Baja" sqref="G2:G9" xr:uid="{00000000-0002-0000-1400-000001000000}">
      <formula1>"Crítica,Alta,Media,Baja"</formula1>
    </dataValidation>
    <dataValidation type="list" allowBlank="1" errorTitle="Tipo inválido" error="Seleccione: Real o Simulado" sqref="H2:H9" xr:uid="{00000000-0002-0000-1400-000002000000}">
      <formula1>"Real,Simulado"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30" customHeight="1" x14ac:dyDescent="0.25">
      <c r="A2" s="4" t="s">
        <v>1927</v>
      </c>
      <c r="B2" s="4" t="s">
        <v>1928</v>
      </c>
      <c r="C2" s="4" t="s">
        <v>1929</v>
      </c>
      <c r="D2" s="4" t="s">
        <v>583</v>
      </c>
      <c r="E2" s="4" t="s">
        <v>1930</v>
      </c>
      <c r="F2" s="4" t="s">
        <v>1931</v>
      </c>
      <c r="G2" s="4" t="s">
        <v>33</v>
      </c>
      <c r="H2" s="4" t="s">
        <v>40</v>
      </c>
      <c r="I2" s="4"/>
      <c r="J2" s="4"/>
    </row>
    <row r="3" spans="1:10" ht="60" customHeight="1" x14ac:dyDescent="0.25">
      <c r="A3" s="4" t="s">
        <v>1932</v>
      </c>
      <c r="B3" s="4" t="s">
        <v>1928</v>
      </c>
      <c r="C3" s="4" t="s">
        <v>1933</v>
      </c>
      <c r="D3" s="4" t="s">
        <v>583</v>
      </c>
      <c r="E3" s="4" t="s">
        <v>1934</v>
      </c>
      <c r="F3" s="4" t="s">
        <v>1935</v>
      </c>
      <c r="G3" s="4" t="s">
        <v>33</v>
      </c>
      <c r="H3" s="4" t="s">
        <v>40</v>
      </c>
      <c r="I3" s="4"/>
      <c r="J3" s="4"/>
    </row>
    <row r="4" spans="1:10" ht="45" customHeight="1" x14ac:dyDescent="0.25">
      <c r="A4" s="4" t="s">
        <v>1936</v>
      </c>
      <c r="B4" s="4" t="s">
        <v>1928</v>
      </c>
      <c r="C4" s="4" t="s">
        <v>1937</v>
      </c>
      <c r="D4" s="4" t="s">
        <v>583</v>
      </c>
      <c r="E4" s="4" t="s">
        <v>1938</v>
      </c>
      <c r="F4" s="4" t="s">
        <v>1939</v>
      </c>
      <c r="G4" s="4" t="s">
        <v>31</v>
      </c>
      <c r="H4" s="4" t="s">
        <v>40</v>
      </c>
      <c r="I4" s="4"/>
      <c r="J4" s="4"/>
    </row>
    <row r="5" spans="1:10" ht="30" customHeight="1" x14ac:dyDescent="0.25">
      <c r="A5" s="4" t="s">
        <v>1940</v>
      </c>
      <c r="B5" s="4" t="s">
        <v>1928</v>
      </c>
      <c r="C5" s="4" t="s">
        <v>1941</v>
      </c>
      <c r="D5" s="4" t="s">
        <v>1942</v>
      </c>
      <c r="E5" s="4" t="s">
        <v>1943</v>
      </c>
      <c r="F5" s="4" t="s">
        <v>1944</v>
      </c>
      <c r="G5" s="4" t="s">
        <v>33</v>
      </c>
      <c r="H5" s="4" t="s">
        <v>40</v>
      </c>
      <c r="I5" s="4"/>
      <c r="J5" s="4"/>
    </row>
    <row r="6" spans="1:10" ht="45" customHeight="1" x14ac:dyDescent="0.25">
      <c r="A6" s="4" t="s">
        <v>1945</v>
      </c>
      <c r="B6" s="4" t="s">
        <v>1928</v>
      </c>
      <c r="C6" s="4" t="s">
        <v>1354</v>
      </c>
      <c r="D6" s="4" t="s">
        <v>1946</v>
      </c>
      <c r="E6" s="4" t="s">
        <v>1943</v>
      </c>
      <c r="F6" s="4" t="s">
        <v>1947</v>
      </c>
      <c r="G6" s="4" t="s">
        <v>33</v>
      </c>
      <c r="H6" s="4" t="s">
        <v>40</v>
      </c>
      <c r="I6" s="4"/>
      <c r="J6" s="4"/>
    </row>
    <row r="7" spans="1:10" ht="45" customHeight="1" x14ac:dyDescent="0.25">
      <c r="A7" s="4" t="s">
        <v>1948</v>
      </c>
      <c r="B7" s="4" t="s">
        <v>1928</v>
      </c>
      <c r="C7" s="4" t="s">
        <v>1949</v>
      </c>
      <c r="D7" s="4" t="s">
        <v>1950</v>
      </c>
      <c r="E7" s="4" t="s">
        <v>1951</v>
      </c>
      <c r="F7" s="4" t="s">
        <v>1952</v>
      </c>
      <c r="G7" s="4" t="s">
        <v>31</v>
      </c>
      <c r="H7" s="4" t="s">
        <v>40</v>
      </c>
      <c r="I7" s="4"/>
      <c r="J7" s="4"/>
    </row>
    <row r="8" spans="1:10" ht="45" customHeight="1" x14ac:dyDescent="0.25">
      <c r="A8" s="4" t="s">
        <v>1953</v>
      </c>
      <c r="B8" s="4" t="s">
        <v>1928</v>
      </c>
      <c r="C8" s="4" t="s">
        <v>1954</v>
      </c>
      <c r="D8" s="4" t="s">
        <v>1955</v>
      </c>
      <c r="E8" s="4" t="s">
        <v>1956</v>
      </c>
      <c r="F8" s="4" t="s">
        <v>1957</v>
      </c>
      <c r="G8" s="4" t="s">
        <v>35</v>
      </c>
      <c r="H8" s="4" t="s">
        <v>40</v>
      </c>
      <c r="I8" s="4"/>
      <c r="J8" s="4"/>
    </row>
    <row r="9" spans="1:10" ht="30" customHeight="1" x14ac:dyDescent="0.25">
      <c r="A9" s="4" t="s">
        <v>1958</v>
      </c>
      <c r="B9" s="4" t="s">
        <v>1928</v>
      </c>
      <c r="C9" s="4" t="s">
        <v>1850</v>
      </c>
      <c r="D9" s="4" t="s">
        <v>1851</v>
      </c>
      <c r="E9" s="4" t="s">
        <v>1852</v>
      </c>
      <c r="F9" s="4" t="s">
        <v>1959</v>
      </c>
      <c r="G9" s="4" t="s">
        <v>35</v>
      </c>
      <c r="H9" s="4" t="s">
        <v>40</v>
      </c>
      <c r="I9" s="4"/>
      <c r="J9" s="4"/>
    </row>
    <row r="10" spans="1:10" ht="30" customHeight="1" x14ac:dyDescent="0.25">
      <c r="A10" s="4" t="s">
        <v>1960</v>
      </c>
      <c r="B10" s="4" t="s">
        <v>1928</v>
      </c>
      <c r="C10" s="4" t="s">
        <v>1961</v>
      </c>
      <c r="D10" s="4" t="s">
        <v>1962</v>
      </c>
      <c r="E10" s="4" t="s">
        <v>1963</v>
      </c>
      <c r="F10" s="4" t="s">
        <v>1964</v>
      </c>
      <c r="G10" s="4" t="s">
        <v>35</v>
      </c>
      <c r="H10" s="4" t="s">
        <v>40</v>
      </c>
      <c r="I10" s="4"/>
      <c r="J10" s="4"/>
    </row>
    <row r="11" spans="1:10" ht="30" customHeight="1" x14ac:dyDescent="0.25">
      <c r="A11" s="4" t="s">
        <v>1965</v>
      </c>
      <c r="B11" s="4" t="s">
        <v>1928</v>
      </c>
      <c r="C11" s="4" t="s">
        <v>1966</v>
      </c>
      <c r="D11" s="4" t="s">
        <v>1967</v>
      </c>
      <c r="E11" s="4" t="s">
        <v>1968</v>
      </c>
      <c r="F11" s="4" t="s">
        <v>1969</v>
      </c>
      <c r="G11" s="4" t="s">
        <v>37</v>
      </c>
      <c r="H11" s="4" t="s">
        <v>42</v>
      </c>
      <c r="I11" s="4"/>
      <c r="J11" s="4"/>
    </row>
    <row r="12" spans="1:10" x14ac:dyDescent="0.25">
      <c r="A12" s="4" t="s">
        <v>1970</v>
      </c>
      <c r="B12" s="4" t="s">
        <v>1928</v>
      </c>
      <c r="C12" s="4" t="s">
        <v>1971</v>
      </c>
      <c r="D12" s="4" t="s">
        <v>1929</v>
      </c>
      <c r="E12" s="4" t="s">
        <v>1972</v>
      </c>
      <c r="F12" s="4" t="s">
        <v>1973</v>
      </c>
      <c r="G12" s="4" t="s">
        <v>35</v>
      </c>
      <c r="H12" s="4" t="s">
        <v>40</v>
      </c>
      <c r="I12" s="4"/>
      <c r="J12" s="4"/>
    </row>
    <row r="13" spans="1:10" ht="45" customHeight="1" x14ac:dyDescent="0.25">
      <c r="A13" s="4" t="s">
        <v>1974</v>
      </c>
      <c r="B13" s="4" t="s">
        <v>1928</v>
      </c>
      <c r="C13" s="4" t="s">
        <v>1975</v>
      </c>
      <c r="D13" s="4" t="s">
        <v>1976</v>
      </c>
      <c r="E13" s="4" t="s">
        <v>1027</v>
      </c>
      <c r="F13" s="4" t="s">
        <v>1977</v>
      </c>
      <c r="G13" s="4" t="s">
        <v>31</v>
      </c>
      <c r="H13" s="4" t="s">
        <v>40</v>
      </c>
      <c r="I13" s="4"/>
      <c r="J13" s="4"/>
    </row>
  </sheetData>
  <autoFilter ref="A1:J13" xr:uid="{00000000-0009-0000-0000-000015000000}"/>
  <dataValidations count="3">
    <dataValidation type="list" allowBlank="1" errorTitle="Resultado inválido" error="Seleccione: Pasa, Falla, Bloqueado o Pendiente" sqref="I2:I13" xr:uid="{00000000-0002-0000-1500-000000000000}">
      <formula1>"Pasa,Falla,Bloqueado,Pendiente"</formula1>
    </dataValidation>
    <dataValidation type="list" allowBlank="1" errorTitle="Prioridad inválida" error="Seleccione: Crítica, Alta, Media o Baja" sqref="G2:G13" xr:uid="{00000000-0002-0000-1500-000001000000}">
      <formula1>"Crítica,Alta,Media,Baja"</formula1>
    </dataValidation>
    <dataValidation type="list" allowBlank="1" errorTitle="Tipo inválido" error="Seleccione: Real o Simulado" sqref="H2:H13" xr:uid="{00000000-0002-0000-1500-000002000000}">
      <formula1>"Real,Simulado"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4" customWidth="1"/>
    <col min="2" max="2" width="20" style="14" customWidth="1"/>
    <col min="3" max="3" width="35" style="14" customWidth="1"/>
    <col min="4" max="4" width="25" style="14" customWidth="1"/>
    <col min="5" max="5" width="40" style="14" customWidth="1"/>
    <col min="6" max="6" width="35" style="14" customWidth="1"/>
    <col min="7" max="9" width="12" style="14" customWidth="1"/>
    <col min="10" max="10" width="30" style="14" customWidth="1"/>
  </cols>
  <sheetData>
    <row r="1" spans="1:10" x14ac:dyDescent="0.25">
      <c r="A1" s="13" t="s">
        <v>158</v>
      </c>
      <c r="B1" s="13" t="s">
        <v>126</v>
      </c>
      <c r="C1" s="13" t="s">
        <v>159</v>
      </c>
      <c r="D1" s="13" t="s">
        <v>160</v>
      </c>
      <c r="E1" s="13" t="s">
        <v>161</v>
      </c>
      <c r="F1" s="13" t="s">
        <v>162</v>
      </c>
      <c r="G1" s="13" t="s">
        <v>150</v>
      </c>
      <c r="H1" s="13" t="s">
        <v>163</v>
      </c>
      <c r="I1" s="13" t="s">
        <v>164</v>
      </c>
      <c r="J1" s="13" t="s">
        <v>65</v>
      </c>
    </row>
    <row r="2" spans="1:10" ht="30" customHeight="1" x14ac:dyDescent="0.25">
      <c r="A2" s="4" t="s">
        <v>1978</v>
      </c>
      <c r="B2" s="4" t="s">
        <v>1979</v>
      </c>
      <c r="C2" s="4" t="s">
        <v>1980</v>
      </c>
      <c r="D2" s="4" t="s">
        <v>1981</v>
      </c>
      <c r="E2" s="4" t="s">
        <v>1982</v>
      </c>
      <c r="F2" s="4" t="s">
        <v>1983</v>
      </c>
      <c r="G2" s="4" t="s">
        <v>31</v>
      </c>
      <c r="H2" s="4" t="s">
        <v>40</v>
      </c>
      <c r="I2" s="4"/>
      <c r="J2" s="4"/>
    </row>
    <row r="3" spans="1:10" ht="30" customHeight="1" x14ac:dyDescent="0.25">
      <c r="A3" s="4" t="s">
        <v>1984</v>
      </c>
      <c r="B3" s="4" t="s">
        <v>1979</v>
      </c>
      <c r="C3" s="4" t="s">
        <v>1985</v>
      </c>
      <c r="D3" s="4" t="s">
        <v>1981</v>
      </c>
      <c r="E3" s="4" t="s">
        <v>1986</v>
      </c>
      <c r="F3" s="4" t="s">
        <v>1987</v>
      </c>
      <c r="G3" s="4" t="s">
        <v>31</v>
      </c>
      <c r="H3" s="4" t="s">
        <v>40</v>
      </c>
      <c r="I3" s="4"/>
      <c r="J3" s="4"/>
    </row>
    <row r="4" spans="1:10" ht="30" customHeight="1" x14ac:dyDescent="0.25">
      <c r="A4" s="4" t="s">
        <v>1988</v>
      </c>
      <c r="B4" s="4" t="s">
        <v>1979</v>
      </c>
      <c r="C4" s="4" t="s">
        <v>1989</v>
      </c>
      <c r="D4" s="4" t="s">
        <v>1990</v>
      </c>
      <c r="E4" s="4" t="s">
        <v>1991</v>
      </c>
      <c r="F4" s="4" t="s">
        <v>1992</v>
      </c>
      <c r="G4" s="4" t="s">
        <v>33</v>
      </c>
      <c r="H4" s="4" t="s">
        <v>40</v>
      </c>
      <c r="I4" s="4"/>
      <c r="J4" s="4"/>
    </row>
    <row r="5" spans="1:10" ht="30" customHeight="1" x14ac:dyDescent="0.25">
      <c r="A5" s="4" t="s">
        <v>1993</v>
      </c>
      <c r="B5" s="4" t="s">
        <v>1979</v>
      </c>
      <c r="C5" s="4" t="s">
        <v>1994</v>
      </c>
      <c r="D5" s="4" t="s">
        <v>1995</v>
      </c>
      <c r="E5" s="4" t="s">
        <v>1996</v>
      </c>
      <c r="F5" s="4" t="s">
        <v>1997</v>
      </c>
      <c r="G5" s="4" t="s">
        <v>33</v>
      </c>
      <c r="H5" s="4" t="s">
        <v>40</v>
      </c>
      <c r="I5" s="4"/>
      <c r="J5" s="4"/>
    </row>
    <row r="6" spans="1:10" ht="45" customHeight="1" x14ac:dyDescent="0.25">
      <c r="A6" s="4" t="s">
        <v>1998</v>
      </c>
      <c r="B6" s="4" t="s">
        <v>1979</v>
      </c>
      <c r="C6" s="4" t="s">
        <v>1999</v>
      </c>
      <c r="D6" s="4" t="s">
        <v>2000</v>
      </c>
      <c r="E6" s="4" t="s">
        <v>2001</v>
      </c>
      <c r="F6" s="4" t="s">
        <v>2002</v>
      </c>
      <c r="G6" s="4" t="s">
        <v>35</v>
      </c>
      <c r="H6" s="4" t="s">
        <v>40</v>
      </c>
      <c r="I6" s="4"/>
      <c r="J6" s="4"/>
    </row>
    <row r="7" spans="1:10" ht="60" customHeight="1" x14ac:dyDescent="0.25">
      <c r="A7" s="4" t="s">
        <v>2003</v>
      </c>
      <c r="B7" s="4" t="s">
        <v>1979</v>
      </c>
      <c r="C7" s="4" t="s">
        <v>2004</v>
      </c>
      <c r="D7" s="4" t="s">
        <v>202</v>
      </c>
      <c r="E7" s="4" t="s">
        <v>2005</v>
      </c>
      <c r="F7" s="4" t="s">
        <v>2006</v>
      </c>
      <c r="G7" s="4" t="s">
        <v>33</v>
      </c>
      <c r="H7" s="4" t="s">
        <v>42</v>
      </c>
      <c r="I7" s="4"/>
      <c r="J7" s="4"/>
    </row>
  </sheetData>
  <autoFilter ref="A1:J7" xr:uid="{00000000-0009-0000-0000-000016000000}"/>
  <dataValidations count="3">
    <dataValidation type="list" allowBlank="1" errorTitle="Resultado inválido" error="Seleccione: Pasa, Falla, Bloqueado o Pendiente" sqref="I2:I7" xr:uid="{00000000-0002-0000-1600-000000000000}">
      <formula1>"Pasa,Falla,Bloqueado,Pendiente"</formula1>
    </dataValidation>
    <dataValidation type="list" allowBlank="1" errorTitle="Prioridad inválida" error="Seleccione: Crítica, Alta, Media o Baja" sqref="G2:G7" xr:uid="{00000000-0002-0000-1600-000001000000}">
      <formula1>"Crítica,Alta,Media,Baja"</formula1>
    </dataValidation>
    <dataValidation type="list" allowBlank="1" errorTitle="Tipo inválido" error="Seleccione: Real o Simulado" sqref="H2:H7" xr:uid="{00000000-0002-0000-1600-000002000000}">
      <formula1>"Real,Simulado"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Portada</vt:lpstr>
      <vt:lpstr>Como_evaluar</vt:lpstr>
      <vt:lpstr>Matriz_cuentas</vt:lpstr>
      <vt:lpstr>Resumen_ejecucion</vt:lpstr>
      <vt:lpstr>01_auth_users</vt:lpstr>
      <vt:lpstr>02_specialists</vt:lpstr>
      <vt:lpstr>03_admin_config</vt:lpstr>
      <vt:lpstr>04_admin_users</vt:lpstr>
      <vt:lpstr>05_catalog_services</vt:lpstr>
      <vt:lpstr>06_marketplace_citas</vt:lpstr>
      <vt:lpstr>07_patients_compliance</vt:lpstr>
      <vt:lpstr>08_payments_stripe</vt:lpstr>
      <vt:lpstr>09_treatment_execution</vt:lpstr>
      <vt:lpstr>10_treatment_photos</vt:lpstr>
      <vt:lpstr>11_flujos_integrados</vt:lpstr>
      <vt:lpstr>12_solicitudes_reserva</vt:lpstr>
      <vt:lpstr>13_admin_dashboard</vt:lpstr>
      <vt:lpstr>14_Notificaciones</vt:lpstr>
      <vt:lpstr>15_Calificaciones</vt:lpstr>
      <vt:lpstr>16_Liquidaciones</vt:lpstr>
      <vt:lpstr>17_Historial_Liq</vt:lpstr>
      <vt:lpstr>18_Conciliacion</vt:lpstr>
      <vt:lpstr>19_Sesion_Web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Montañez</cp:lastModifiedBy>
  <dcterms:created xsi:type="dcterms:W3CDTF">2026-09-03T22:10:36Z</dcterms:created>
  <dcterms:modified xsi:type="dcterms:W3CDTF">2026-09-09T12:25:20Z</dcterms:modified>
</cp:coreProperties>
</file>